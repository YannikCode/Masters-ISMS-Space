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C:\Users\yannikm\Downloads\"/>
    </mc:Choice>
  </mc:AlternateContent>
  <bookViews>
    <workbookView xWindow="0" yWindow="0" windowWidth="28800" windowHeight="11850" tabRatio="800" firstSheet="4" activeTab="15"/>
  </bookViews>
  <sheets>
    <sheet name="Anleitung" sheetId="69" r:id="rId1"/>
    <sheet name="Allgemein" sheetId="1" r:id="rId2"/>
    <sheet name="P1" sheetId="76" r:id="rId3"/>
    <sheet name="P2" sheetId="77" r:id="rId4"/>
    <sheet name="P3" sheetId="78" r:id="rId5"/>
    <sheet name="P4" sheetId="79" r:id="rId6"/>
    <sheet name="P5" sheetId="80" r:id="rId7"/>
    <sheet name="P6" sheetId="81" r:id="rId8"/>
    <sheet name="P7" sheetId="82" r:id="rId9"/>
    <sheet name="P8" sheetId="83" r:id="rId10"/>
    <sheet name="ISM Klassifizierung" sheetId="5" r:id="rId11"/>
    <sheet name="Informationscluster" sheetId="4" r:id="rId12"/>
    <sheet name="Software Inventar" sheetId="6" r:id="rId13"/>
    <sheet name="Prozessabhängigkeiten" sheetId="75" state="hidden" r:id="rId14"/>
    <sheet name="Ressourcen DB" sheetId="31" r:id="rId15"/>
    <sheet name="Kreuzreferenztabelle" sheetId="67" r:id="rId16"/>
    <sheet name="Vererbungstabellen" sheetId="84" r:id="rId17"/>
  </sheets>
  <functionGroups builtInGroupCount="18"/>
  <definedNames>
    <definedName name="_AMO_UniqueIdentifier" hidden="1">"'2c9e669a-0bcf-4d4e-8477-8986d1daf4b0'"</definedName>
    <definedName name="_xlnm._FilterDatabase" localSheetId="11" hidden="1">Informationscluster!$B$3:$D$3</definedName>
    <definedName name="_xlnm._FilterDatabase" localSheetId="12" hidden="1">'Software Inventar'!$C$3:$E$143</definedName>
    <definedName name="_xlnm.Print_Area" localSheetId="1">Allgemein!$C$8:$P$112</definedName>
    <definedName name="_xlnm.Print_Area" localSheetId="11">Informationscluster!$B$4:$D$50</definedName>
    <definedName name="_xlnm.Print_Area" localSheetId="2">'P1'!$A$1:$K$147</definedName>
    <definedName name="_xlnm.Print_Area" localSheetId="3">'P2'!$A$1:$K$147</definedName>
    <definedName name="_xlnm.Print_Area" localSheetId="4">'P3'!$A$1:$K$147</definedName>
    <definedName name="_xlnm.Print_Area" localSheetId="5">'P4'!$A$1:$K$147</definedName>
    <definedName name="_xlnm.Print_Area" localSheetId="6">'P5'!$A$1:$K$147</definedName>
    <definedName name="_xlnm.Print_Area" localSheetId="7">'P6'!$A$1:$K$147</definedName>
    <definedName name="_xlnm.Print_Area" localSheetId="8">'P7'!$A$1:$K$147</definedName>
    <definedName name="_xlnm.Print_Area" localSheetId="9">'P8'!$A$1:$K$147</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05" i="83" l="1"/>
  <c r="P105" i="82"/>
  <c r="P105" i="81"/>
  <c r="P105" i="80"/>
  <c r="O105" i="80"/>
  <c r="P105" i="79"/>
  <c r="O105" i="79"/>
  <c r="P105" i="76"/>
  <c r="O105" i="76"/>
  <c r="P105" i="77"/>
  <c r="O105" i="77"/>
  <c r="P105" i="78"/>
  <c r="O105" i="78"/>
  <c r="A57" i="82" l="1"/>
  <c r="A59" i="83"/>
  <c r="A62" i="80"/>
  <c r="O105" i="83"/>
  <c r="O105" i="82"/>
  <c r="O105" i="81"/>
  <c r="N105" i="83"/>
  <c r="M105" i="83"/>
  <c r="L105" i="83"/>
  <c r="J105" i="83"/>
  <c r="I105" i="83"/>
  <c r="D105" i="83"/>
  <c r="N105" i="82"/>
  <c r="M105" i="82"/>
  <c r="L105" i="82"/>
  <c r="J105" i="82"/>
  <c r="I105" i="82"/>
  <c r="D105" i="82"/>
  <c r="N105" i="81"/>
  <c r="M105" i="81"/>
  <c r="L105" i="81"/>
  <c r="J105" i="81"/>
  <c r="I105" i="81"/>
  <c r="D105" i="81"/>
  <c r="N105" i="80"/>
  <c r="M105" i="80"/>
  <c r="L105" i="80"/>
  <c r="J105" i="80"/>
  <c r="I105" i="80"/>
  <c r="D105" i="80"/>
  <c r="N105" i="79"/>
  <c r="M105" i="79"/>
  <c r="L105" i="79"/>
  <c r="J105" i="79"/>
  <c r="I105" i="79"/>
  <c r="D105" i="79"/>
  <c r="N105" i="78"/>
  <c r="M105" i="78"/>
  <c r="L105" i="78"/>
  <c r="J105" i="78"/>
  <c r="I105" i="78"/>
  <c r="D105" i="78"/>
  <c r="N105" i="76"/>
  <c r="M105" i="76"/>
  <c r="L105" i="76"/>
  <c r="J105" i="76"/>
  <c r="I105" i="76"/>
  <c r="D105" i="76"/>
  <c r="N105" i="77"/>
  <c r="M105" i="77"/>
  <c r="L105" i="77"/>
  <c r="J105" i="77"/>
  <c r="I105" i="77"/>
  <c r="Q105" i="77"/>
  <c r="R105" i="77"/>
  <c r="P155" i="83"/>
  <c r="O155" i="83"/>
  <c r="P154" i="83"/>
  <c r="O154" i="83"/>
  <c r="P153" i="83"/>
  <c r="O153" i="83"/>
  <c r="P152" i="83"/>
  <c r="O152" i="83"/>
  <c r="O156" i="83" s="1"/>
  <c r="AQ105" i="83"/>
  <c r="AP105" i="83"/>
  <c r="AO105" i="83"/>
  <c r="AN105" i="83"/>
  <c r="AM105" i="83"/>
  <c r="AL105" i="83"/>
  <c r="AK105" i="83"/>
  <c r="AJ105" i="83"/>
  <c r="AI105" i="83"/>
  <c r="AH105" i="83"/>
  <c r="AG105" i="83"/>
  <c r="AF105" i="83"/>
  <c r="AE105" i="83"/>
  <c r="AD105" i="83"/>
  <c r="AC105" i="83"/>
  <c r="AB105" i="83"/>
  <c r="AA105" i="83"/>
  <c r="Z105" i="83"/>
  <c r="Y105" i="83"/>
  <c r="X105" i="83"/>
  <c r="W105" i="83"/>
  <c r="V105" i="83"/>
  <c r="U105" i="83"/>
  <c r="T105" i="83"/>
  <c r="S105" i="83"/>
  <c r="R105" i="83"/>
  <c r="Q105" i="83"/>
  <c r="E103" i="83"/>
  <c r="A103" i="83"/>
  <c r="E102" i="83"/>
  <c r="A102" i="83"/>
  <c r="E101" i="83"/>
  <c r="A101" i="83"/>
  <c r="E100" i="83"/>
  <c r="A100" i="83"/>
  <c r="E99" i="83"/>
  <c r="A99" i="83"/>
  <c r="E98" i="83"/>
  <c r="A98" i="83"/>
  <c r="E97" i="83"/>
  <c r="A97" i="83"/>
  <c r="E96" i="83"/>
  <c r="A96" i="83"/>
  <c r="E95" i="83"/>
  <c r="A95" i="83"/>
  <c r="E94" i="83"/>
  <c r="A94" i="83"/>
  <c r="E93" i="83"/>
  <c r="A93" i="83"/>
  <c r="E92" i="83"/>
  <c r="A92" i="83"/>
  <c r="E91" i="83"/>
  <c r="A91" i="83"/>
  <c r="E90" i="83"/>
  <c r="A90" i="83"/>
  <c r="E89" i="83"/>
  <c r="A89" i="83"/>
  <c r="E88" i="83"/>
  <c r="A88" i="83"/>
  <c r="E87" i="83"/>
  <c r="A87" i="83"/>
  <c r="E86" i="83"/>
  <c r="A86" i="83"/>
  <c r="E85" i="83"/>
  <c r="A85" i="83"/>
  <c r="E84" i="83"/>
  <c r="A84" i="83"/>
  <c r="E83" i="83"/>
  <c r="A83" i="83"/>
  <c r="E82" i="83"/>
  <c r="A82" i="83"/>
  <c r="E81" i="83"/>
  <c r="A81" i="83"/>
  <c r="E80" i="83"/>
  <c r="A80" i="83"/>
  <c r="E79" i="83"/>
  <c r="A79" i="83"/>
  <c r="E78" i="83"/>
  <c r="A78" i="83"/>
  <c r="A75" i="83"/>
  <c r="A74" i="83"/>
  <c r="A73" i="83"/>
  <c r="A72" i="83"/>
  <c r="A71" i="83"/>
  <c r="A70" i="83"/>
  <c r="A69" i="83"/>
  <c r="A68" i="83"/>
  <c r="A67" i="83"/>
  <c r="A66" i="83"/>
  <c r="A65" i="83"/>
  <c r="A64" i="83"/>
  <c r="A63" i="83"/>
  <c r="A61" i="83"/>
  <c r="A60" i="83"/>
  <c r="A58" i="83"/>
  <c r="A57" i="83"/>
  <c r="A56" i="83"/>
  <c r="R55" i="83"/>
  <c r="Q55" i="83"/>
  <c r="P55" i="83"/>
  <c r="O55" i="83"/>
  <c r="N55" i="83"/>
  <c r="M55" i="83"/>
  <c r="L55" i="83"/>
  <c r="K55" i="83"/>
  <c r="A51" i="83"/>
  <c r="A50" i="83"/>
  <c r="A49" i="83"/>
  <c r="A48" i="83"/>
  <c r="A47" i="83"/>
  <c r="A46" i="83"/>
  <c r="A45" i="83"/>
  <c r="A44" i="83"/>
  <c r="A43" i="83"/>
  <c r="A42" i="83"/>
  <c r="A41" i="83"/>
  <c r="A40" i="83"/>
  <c r="A39" i="83"/>
  <c r="A38" i="83"/>
  <c r="A37" i="83"/>
  <c r="A36" i="83"/>
  <c r="A35" i="83"/>
  <c r="A34" i="83"/>
  <c r="A33" i="83"/>
  <c r="A32" i="83"/>
  <c r="A31" i="83"/>
  <c r="A30" i="83"/>
  <c r="A29" i="83"/>
  <c r="A28" i="83"/>
  <c r="A27" i="83"/>
  <c r="A26" i="83"/>
  <c r="A25" i="83"/>
  <c r="A12" i="83"/>
  <c r="P155" i="82"/>
  <c r="O155" i="82"/>
  <c r="P154" i="82"/>
  <c r="O154" i="82"/>
  <c r="P153" i="82"/>
  <c r="O153" i="82"/>
  <c r="P152" i="82"/>
  <c r="O152" i="82"/>
  <c r="O156" i="82" s="1"/>
  <c r="AQ105" i="82"/>
  <c r="AP105" i="82"/>
  <c r="AO105" i="82"/>
  <c r="AN105" i="82"/>
  <c r="AM105" i="82"/>
  <c r="AL105" i="82"/>
  <c r="AK105" i="82"/>
  <c r="AJ105" i="82"/>
  <c r="AI105" i="82"/>
  <c r="AH105" i="82"/>
  <c r="AG105" i="82"/>
  <c r="AF105" i="82"/>
  <c r="AE105" i="82"/>
  <c r="AD105" i="82"/>
  <c r="AC105" i="82"/>
  <c r="AB105" i="82"/>
  <c r="AA105" i="82"/>
  <c r="Z105" i="82"/>
  <c r="Y105" i="82"/>
  <c r="X105" i="82"/>
  <c r="W105" i="82"/>
  <c r="V105" i="82"/>
  <c r="U105" i="82"/>
  <c r="T105" i="82"/>
  <c r="S105" i="82"/>
  <c r="R105" i="82"/>
  <c r="Q105" i="82"/>
  <c r="E103" i="82"/>
  <c r="A103" i="82"/>
  <c r="E102" i="82"/>
  <c r="A102" i="82"/>
  <c r="E101" i="82"/>
  <c r="A101" i="82"/>
  <c r="E100" i="82"/>
  <c r="A100" i="82"/>
  <c r="E99" i="82"/>
  <c r="A99" i="82"/>
  <c r="E98" i="82"/>
  <c r="A98" i="82"/>
  <c r="E97" i="82"/>
  <c r="A97" i="82"/>
  <c r="E96" i="82"/>
  <c r="A96" i="82"/>
  <c r="E95" i="82"/>
  <c r="A95" i="82"/>
  <c r="E94" i="82"/>
  <c r="A94" i="82"/>
  <c r="E93" i="82"/>
  <c r="A93" i="82"/>
  <c r="E92" i="82"/>
  <c r="A92" i="82"/>
  <c r="E91" i="82"/>
  <c r="A91" i="82"/>
  <c r="E90" i="82"/>
  <c r="A90" i="82"/>
  <c r="E89" i="82"/>
  <c r="A89" i="82"/>
  <c r="E88" i="82"/>
  <c r="A88" i="82"/>
  <c r="E87" i="82"/>
  <c r="A87" i="82"/>
  <c r="E86" i="82"/>
  <c r="A86" i="82"/>
  <c r="E85" i="82"/>
  <c r="A85" i="82"/>
  <c r="E84" i="82"/>
  <c r="A84" i="82"/>
  <c r="E83" i="82"/>
  <c r="A83" i="82"/>
  <c r="E82" i="82"/>
  <c r="A82" i="82"/>
  <c r="E81" i="82"/>
  <c r="A81" i="82"/>
  <c r="E80" i="82"/>
  <c r="A80" i="82"/>
  <c r="E79" i="82"/>
  <c r="A79" i="82"/>
  <c r="E78" i="82"/>
  <c r="A78" i="82"/>
  <c r="A75" i="82"/>
  <c r="A74" i="82"/>
  <c r="A73" i="82"/>
  <c r="A72" i="82"/>
  <c r="A71" i="82"/>
  <c r="A70" i="82"/>
  <c r="A69" i="82"/>
  <c r="A68" i="82"/>
  <c r="A67" i="82"/>
  <c r="A66" i="82"/>
  <c r="A65" i="82"/>
  <c r="A64" i="82"/>
  <c r="A63" i="82"/>
  <c r="A62" i="82"/>
  <c r="A61" i="82"/>
  <c r="A60" i="82"/>
  <c r="A59" i="82"/>
  <c r="A58" i="82"/>
  <c r="A56" i="82"/>
  <c r="R55" i="82"/>
  <c r="Q55" i="82"/>
  <c r="P55" i="82"/>
  <c r="O55" i="82"/>
  <c r="N55" i="82"/>
  <c r="M55" i="82"/>
  <c r="L55" i="82"/>
  <c r="K55" i="82"/>
  <c r="A51" i="82"/>
  <c r="A50" i="82"/>
  <c r="A49" i="82"/>
  <c r="A48" i="82"/>
  <c r="A47" i="82"/>
  <c r="A46" i="82"/>
  <c r="A45" i="82"/>
  <c r="A44" i="82"/>
  <c r="A43" i="82"/>
  <c r="A42" i="82"/>
  <c r="A41" i="82"/>
  <c r="A40" i="82"/>
  <c r="A39" i="82"/>
  <c r="A38" i="82"/>
  <c r="A37" i="82"/>
  <c r="A36" i="82"/>
  <c r="A35" i="82"/>
  <c r="A34" i="82"/>
  <c r="A33" i="82"/>
  <c r="A32" i="82"/>
  <c r="A31" i="82"/>
  <c r="A30" i="82"/>
  <c r="A29" i="82"/>
  <c r="A28" i="82"/>
  <c r="A27" i="82"/>
  <c r="A26" i="82"/>
  <c r="A25" i="82"/>
  <c r="A12" i="82"/>
  <c r="P155" i="81"/>
  <c r="O155" i="81"/>
  <c r="P154" i="81"/>
  <c r="O154" i="81"/>
  <c r="P153" i="81"/>
  <c r="O153" i="81"/>
  <c r="P152" i="81"/>
  <c r="O152" i="81"/>
  <c r="O156" i="81" s="1"/>
  <c r="AQ105" i="81"/>
  <c r="AP105" i="81"/>
  <c r="AO105" i="81"/>
  <c r="AN105" i="81"/>
  <c r="AM105" i="81"/>
  <c r="AL105" i="81"/>
  <c r="AK105" i="81"/>
  <c r="AJ105" i="81"/>
  <c r="AI105" i="81"/>
  <c r="AH105" i="81"/>
  <c r="AG105" i="81"/>
  <c r="AF105" i="81"/>
  <c r="AE105" i="81"/>
  <c r="AD105" i="81"/>
  <c r="AC105" i="81"/>
  <c r="AB105" i="81"/>
  <c r="AA105" i="81"/>
  <c r="Z105" i="81"/>
  <c r="Y105" i="81"/>
  <c r="X105" i="81"/>
  <c r="W105" i="81"/>
  <c r="V105" i="81"/>
  <c r="U105" i="81"/>
  <c r="T105" i="81"/>
  <c r="S105" i="81"/>
  <c r="R105" i="81"/>
  <c r="Q105" i="81"/>
  <c r="E103" i="81"/>
  <c r="A103" i="81"/>
  <c r="E102" i="81"/>
  <c r="A102" i="81"/>
  <c r="E101" i="81"/>
  <c r="A101" i="81"/>
  <c r="E100" i="81"/>
  <c r="A100" i="81"/>
  <c r="E99" i="81"/>
  <c r="A99" i="81"/>
  <c r="E98" i="81"/>
  <c r="A98" i="81"/>
  <c r="E97" i="81"/>
  <c r="A97" i="81"/>
  <c r="E96" i="81"/>
  <c r="A96" i="81"/>
  <c r="E95" i="81"/>
  <c r="A95" i="81"/>
  <c r="E94" i="81"/>
  <c r="A94" i="81"/>
  <c r="E93" i="81"/>
  <c r="A93" i="81"/>
  <c r="E92" i="81"/>
  <c r="A92" i="81"/>
  <c r="E91" i="81"/>
  <c r="A91" i="81"/>
  <c r="E90" i="81"/>
  <c r="A90" i="81"/>
  <c r="E89" i="81"/>
  <c r="A89" i="81"/>
  <c r="E88" i="81"/>
  <c r="A88" i="81"/>
  <c r="E87" i="81"/>
  <c r="A87" i="81"/>
  <c r="E86" i="81"/>
  <c r="A86" i="81"/>
  <c r="E85" i="81"/>
  <c r="A85" i="81"/>
  <c r="E84" i="81"/>
  <c r="A84" i="81"/>
  <c r="E83" i="81"/>
  <c r="A83" i="81"/>
  <c r="E82" i="81"/>
  <c r="A82" i="81"/>
  <c r="E81" i="81"/>
  <c r="A81" i="81"/>
  <c r="E80" i="81"/>
  <c r="A80" i="81"/>
  <c r="E79" i="81"/>
  <c r="A79" i="81"/>
  <c r="E78" i="81"/>
  <c r="A78" i="81"/>
  <c r="A75" i="81"/>
  <c r="A74" i="81"/>
  <c r="A73" i="81"/>
  <c r="A72" i="81"/>
  <c r="A71" i="81"/>
  <c r="A70" i="81"/>
  <c r="A69" i="81"/>
  <c r="A68" i="81"/>
  <c r="A67" i="81"/>
  <c r="A66" i="81"/>
  <c r="A65" i="81"/>
  <c r="A64" i="81"/>
  <c r="A63" i="81"/>
  <c r="A62" i="81"/>
  <c r="A61" i="81"/>
  <c r="A60" i="81"/>
  <c r="A59" i="81"/>
  <c r="A58" i="81"/>
  <c r="A57" i="81"/>
  <c r="A56" i="81"/>
  <c r="R55" i="81"/>
  <c r="Q55" i="81"/>
  <c r="P55" i="81"/>
  <c r="O55" i="81"/>
  <c r="N55" i="81"/>
  <c r="M55" i="81"/>
  <c r="L55" i="81"/>
  <c r="K55" i="81"/>
  <c r="A51" i="81"/>
  <c r="A50" i="81"/>
  <c r="A49" i="81"/>
  <c r="A48" i="81"/>
  <c r="A47" i="81"/>
  <c r="A46" i="81"/>
  <c r="A45" i="81"/>
  <c r="A44" i="81"/>
  <c r="A43" i="81"/>
  <c r="A42" i="81"/>
  <c r="A41" i="81"/>
  <c r="A40" i="81"/>
  <c r="A39" i="81"/>
  <c r="A38" i="81"/>
  <c r="A37" i="81"/>
  <c r="A36" i="81"/>
  <c r="A35" i="81"/>
  <c r="A34" i="81"/>
  <c r="A33" i="81"/>
  <c r="A32" i="81"/>
  <c r="A31" i="81"/>
  <c r="A30" i="81"/>
  <c r="A29" i="81"/>
  <c r="A28" i="81"/>
  <c r="A27" i="81"/>
  <c r="A26" i="81"/>
  <c r="A25" i="81"/>
  <c r="A12" i="81"/>
  <c r="P155" i="80"/>
  <c r="O155" i="80"/>
  <c r="P154" i="80"/>
  <c r="O154" i="80"/>
  <c r="P153" i="80"/>
  <c r="O153" i="80"/>
  <c r="P152" i="80"/>
  <c r="O152" i="80"/>
  <c r="O156" i="80" s="1"/>
  <c r="AQ105" i="80"/>
  <c r="AP105" i="80"/>
  <c r="AO105" i="80"/>
  <c r="AN105" i="80"/>
  <c r="AM105" i="80"/>
  <c r="AL105" i="80"/>
  <c r="AK105" i="80"/>
  <c r="AJ105" i="80"/>
  <c r="AI105" i="80"/>
  <c r="AH105" i="80"/>
  <c r="AG105" i="80"/>
  <c r="AF105" i="80"/>
  <c r="AE105" i="80"/>
  <c r="AD105" i="80"/>
  <c r="AC105" i="80"/>
  <c r="AB105" i="80"/>
  <c r="AA105" i="80"/>
  <c r="Z105" i="80"/>
  <c r="Y105" i="80"/>
  <c r="X105" i="80"/>
  <c r="W105" i="80"/>
  <c r="V105" i="80"/>
  <c r="U105" i="80"/>
  <c r="T105" i="80"/>
  <c r="S105" i="80"/>
  <c r="R105" i="80"/>
  <c r="Q105" i="80"/>
  <c r="E103" i="80"/>
  <c r="A103" i="80"/>
  <c r="E102" i="80"/>
  <c r="A102" i="80"/>
  <c r="E101" i="80"/>
  <c r="A101" i="80"/>
  <c r="E100" i="80"/>
  <c r="A100" i="80"/>
  <c r="E99" i="80"/>
  <c r="A99" i="80"/>
  <c r="E98" i="80"/>
  <c r="A98" i="80"/>
  <c r="E97" i="80"/>
  <c r="A97" i="80"/>
  <c r="E96" i="80"/>
  <c r="A96" i="80"/>
  <c r="E95" i="80"/>
  <c r="A95" i="80"/>
  <c r="E94" i="80"/>
  <c r="A94" i="80"/>
  <c r="E93" i="80"/>
  <c r="A93" i="80"/>
  <c r="E92" i="80"/>
  <c r="A92" i="80"/>
  <c r="E91" i="80"/>
  <c r="A91" i="80"/>
  <c r="E90" i="80"/>
  <c r="A90" i="80"/>
  <c r="E89" i="80"/>
  <c r="A89" i="80"/>
  <c r="E88" i="80"/>
  <c r="A88" i="80"/>
  <c r="E87" i="80"/>
  <c r="A87" i="80"/>
  <c r="E86" i="80"/>
  <c r="A86" i="80"/>
  <c r="E85" i="80"/>
  <c r="A85" i="80"/>
  <c r="E84" i="80"/>
  <c r="A84" i="80"/>
  <c r="E83" i="80"/>
  <c r="A83" i="80"/>
  <c r="E82" i="80"/>
  <c r="A82" i="80"/>
  <c r="E81" i="80"/>
  <c r="A81" i="80"/>
  <c r="E80" i="80"/>
  <c r="A80" i="80"/>
  <c r="E79" i="80"/>
  <c r="A79" i="80"/>
  <c r="E78" i="80"/>
  <c r="A78" i="80"/>
  <c r="A75" i="80"/>
  <c r="A74" i="80"/>
  <c r="A73" i="80"/>
  <c r="A72" i="80"/>
  <c r="A71" i="80"/>
  <c r="A70" i="80"/>
  <c r="A69" i="80"/>
  <c r="A68" i="80"/>
  <c r="A67" i="80"/>
  <c r="A66" i="80"/>
  <c r="A65" i="80"/>
  <c r="A64" i="80"/>
  <c r="A63" i="80"/>
  <c r="A61" i="80"/>
  <c r="A60" i="80"/>
  <c r="A59" i="80"/>
  <c r="A58" i="80"/>
  <c r="A57" i="80"/>
  <c r="A56" i="80"/>
  <c r="R55" i="80"/>
  <c r="Q55" i="80"/>
  <c r="P55" i="80"/>
  <c r="O55" i="80"/>
  <c r="N55" i="80"/>
  <c r="M55" i="80"/>
  <c r="L55" i="80"/>
  <c r="K55" i="80"/>
  <c r="A51" i="80"/>
  <c r="A50" i="80"/>
  <c r="A49" i="80"/>
  <c r="A48" i="80"/>
  <c r="A47" i="80"/>
  <c r="A46" i="80"/>
  <c r="A45" i="80"/>
  <c r="A44" i="80"/>
  <c r="A43" i="80"/>
  <c r="A42" i="80"/>
  <c r="A41" i="80"/>
  <c r="A40" i="80"/>
  <c r="A39" i="80"/>
  <c r="A38" i="80"/>
  <c r="A37" i="80"/>
  <c r="A36" i="80"/>
  <c r="A35" i="80"/>
  <c r="A34" i="80"/>
  <c r="A33" i="80"/>
  <c r="A32" i="80"/>
  <c r="A31" i="80"/>
  <c r="A30" i="80"/>
  <c r="A29" i="80"/>
  <c r="A28" i="80"/>
  <c r="A27" i="80"/>
  <c r="A26" i="80"/>
  <c r="A25" i="80"/>
  <c r="A12" i="80"/>
  <c r="P155" i="79"/>
  <c r="O155" i="79"/>
  <c r="P154" i="79"/>
  <c r="O154" i="79"/>
  <c r="P153" i="79"/>
  <c r="O153" i="79"/>
  <c r="P152" i="79"/>
  <c r="O152" i="79"/>
  <c r="O156" i="79" s="1"/>
  <c r="AQ105" i="79"/>
  <c r="AP105" i="79"/>
  <c r="AO105" i="79"/>
  <c r="AN105" i="79"/>
  <c r="AM105" i="79"/>
  <c r="AL105" i="79"/>
  <c r="AK105" i="79"/>
  <c r="AJ105" i="79"/>
  <c r="AI105" i="79"/>
  <c r="AH105" i="79"/>
  <c r="AG105" i="79"/>
  <c r="AF105" i="79"/>
  <c r="AE105" i="79"/>
  <c r="AD105" i="79"/>
  <c r="AC105" i="79"/>
  <c r="AB105" i="79"/>
  <c r="AA105" i="79"/>
  <c r="Z105" i="79"/>
  <c r="Y105" i="79"/>
  <c r="X105" i="79"/>
  <c r="W105" i="79"/>
  <c r="V105" i="79"/>
  <c r="U105" i="79"/>
  <c r="T105" i="79"/>
  <c r="S105" i="79"/>
  <c r="R105" i="79"/>
  <c r="Q105" i="79"/>
  <c r="E103" i="79"/>
  <c r="A103" i="79"/>
  <c r="E102" i="79"/>
  <c r="A102" i="79"/>
  <c r="E101" i="79"/>
  <c r="A101" i="79"/>
  <c r="E100" i="79"/>
  <c r="A100" i="79"/>
  <c r="E99" i="79"/>
  <c r="A99" i="79"/>
  <c r="E98" i="79"/>
  <c r="A98" i="79"/>
  <c r="E97" i="79"/>
  <c r="A97" i="79"/>
  <c r="E96" i="79"/>
  <c r="A96" i="79"/>
  <c r="E95" i="79"/>
  <c r="A95" i="79"/>
  <c r="E94" i="79"/>
  <c r="A94" i="79"/>
  <c r="E93" i="79"/>
  <c r="A93" i="79"/>
  <c r="E92" i="79"/>
  <c r="A92" i="79"/>
  <c r="E91" i="79"/>
  <c r="A91" i="79"/>
  <c r="E90" i="79"/>
  <c r="A90" i="79"/>
  <c r="E89" i="79"/>
  <c r="A89" i="79"/>
  <c r="E88" i="79"/>
  <c r="A88" i="79"/>
  <c r="E87" i="79"/>
  <c r="A87" i="79"/>
  <c r="E86" i="79"/>
  <c r="A86" i="79"/>
  <c r="E85" i="79"/>
  <c r="A85" i="79"/>
  <c r="E84" i="79"/>
  <c r="A84" i="79"/>
  <c r="E83" i="79"/>
  <c r="A83" i="79"/>
  <c r="E82" i="79"/>
  <c r="A82" i="79"/>
  <c r="E81" i="79"/>
  <c r="A81" i="79"/>
  <c r="E80" i="79"/>
  <c r="A80" i="79"/>
  <c r="E79" i="79"/>
  <c r="A79" i="79"/>
  <c r="E78" i="79"/>
  <c r="A78" i="79"/>
  <c r="A75" i="79"/>
  <c r="A74" i="79"/>
  <c r="A73" i="79"/>
  <c r="A72" i="79"/>
  <c r="A71" i="79"/>
  <c r="A70" i="79"/>
  <c r="A69" i="79"/>
  <c r="A68" i="79"/>
  <c r="A67" i="79"/>
  <c r="A66" i="79"/>
  <c r="A65" i="79"/>
  <c r="A64" i="79"/>
  <c r="A63" i="79"/>
  <c r="A62" i="79"/>
  <c r="A61" i="79"/>
  <c r="A60" i="79"/>
  <c r="A59" i="79"/>
  <c r="A58" i="79"/>
  <c r="A57" i="79"/>
  <c r="A56" i="79"/>
  <c r="R55" i="79"/>
  <c r="Q55" i="79"/>
  <c r="P55" i="79"/>
  <c r="O55" i="79"/>
  <c r="N55" i="79"/>
  <c r="M55" i="79"/>
  <c r="L55" i="79"/>
  <c r="K55" i="79"/>
  <c r="A51" i="79"/>
  <c r="A50" i="79"/>
  <c r="A49" i="79"/>
  <c r="A48" i="79"/>
  <c r="A47" i="79"/>
  <c r="A46" i="79"/>
  <c r="A45" i="79"/>
  <c r="A44" i="79"/>
  <c r="A43" i="79"/>
  <c r="A42" i="79"/>
  <c r="A41" i="79"/>
  <c r="A40" i="79"/>
  <c r="A39" i="79"/>
  <c r="A38" i="79"/>
  <c r="A37" i="79"/>
  <c r="A36" i="79"/>
  <c r="A35" i="79"/>
  <c r="A34" i="79"/>
  <c r="A33" i="79"/>
  <c r="A32" i="79"/>
  <c r="A31" i="79"/>
  <c r="A30" i="79"/>
  <c r="A29" i="79"/>
  <c r="A28" i="79"/>
  <c r="A27" i="79"/>
  <c r="A26" i="79"/>
  <c r="A25" i="79"/>
  <c r="A12" i="79"/>
  <c r="P155" i="78"/>
  <c r="O155" i="78"/>
  <c r="P154" i="78"/>
  <c r="O154" i="78"/>
  <c r="P153" i="78"/>
  <c r="O153" i="78"/>
  <c r="P152" i="78"/>
  <c r="O152" i="78"/>
  <c r="O156" i="78" s="1"/>
  <c r="AQ105" i="78"/>
  <c r="AP105" i="78"/>
  <c r="AO105" i="78"/>
  <c r="AN105" i="78"/>
  <c r="AM105" i="78"/>
  <c r="AL105" i="78"/>
  <c r="AK105" i="78"/>
  <c r="AJ105" i="78"/>
  <c r="AI105" i="78"/>
  <c r="AH105" i="78"/>
  <c r="AG105" i="78"/>
  <c r="AF105" i="78"/>
  <c r="AE105" i="78"/>
  <c r="AD105" i="78"/>
  <c r="AC105" i="78"/>
  <c r="AB105" i="78"/>
  <c r="AA105" i="78"/>
  <c r="Z105" i="78"/>
  <c r="Y105" i="78"/>
  <c r="X105" i="78"/>
  <c r="W105" i="78"/>
  <c r="V105" i="78"/>
  <c r="U105" i="78"/>
  <c r="T105" i="78"/>
  <c r="S105" i="78"/>
  <c r="R105" i="78"/>
  <c r="Q105" i="78"/>
  <c r="E103" i="78"/>
  <c r="A103" i="78"/>
  <c r="E102" i="78"/>
  <c r="A102" i="78"/>
  <c r="E101" i="78"/>
  <c r="A101" i="78"/>
  <c r="E100" i="78"/>
  <c r="A100" i="78"/>
  <c r="E99" i="78"/>
  <c r="A99" i="78"/>
  <c r="E98" i="78"/>
  <c r="A98" i="78"/>
  <c r="E97" i="78"/>
  <c r="A97" i="78"/>
  <c r="E96" i="78"/>
  <c r="A96" i="78"/>
  <c r="E95" i="78"/>
  <c r="A95" i="78"/>
  <c r="E94" i="78"/>
  <c r="A94" i="78"/>
  <c r="E93" i="78"/>
  <c r="A93" i="78"/>
  <c r="E92" i="78"/>
  <c r="A92" i="78"/>
  <c r="E91" i="78"/>
  <c r="A91" i="78"/>
  <c r="E90" i="78"/>
  <c r="A90" i="78"/>
  <c r="E89" i="78"/>
  <c r="A89" i="78"/>
  <c r="E88" i="78"/>
  <c r="A88" i="78"/>
  <c r="E87" i="78"/>
  <c r="A87" i="78"/>
  <c r="E86" i="78"/>
  <c r="A86" i="78"/>
  <c r="E85" i="78"/>
  <c r="A85" i="78"/>
  <c r="E84" i="78"/>
  <c r="A84" i="78"/>
  <c r="E83" i="78"/>
  <c r="A83" i="78"/>
  <c r="E82" i="78"/>
  <c r="A82" i="78"/>
  <c r="E81" i="78"/>
  <c r="A81" i="78"/>
  <c r="E80" i="78"/>
  <c r="A80" i="78"/>
  <c r="E79" i="78"/>
  <c r="A79" i="78"/>
  <c r="E78" i="78"/>
  <c r="A78" i="78"/>
  <c r="A75" i="78"/>
  <c r="A74" i="78"/>
  <c r="A73" i="78"/>
  <c r="A72" i="78"/>
  <c r="A71" i="78"/>
  <c r="A70" i="78"/>
  <c r="A69" i="78"/>
  <c r="A68" i="78"/>
  <c r="A67" i="78"/>
  <c r="A66" i="78"/>
  <c r="A65" i="78"/>
  <c r="A64" i="78"/>
  <c r="A63" i="78"/>
  <c r="A62" i="78"/>
  <c r="A61" i="78"/>
  <c r="A60" i="78"/>
  <c r="A59" i="78"/>
  <c r="A58" i="78"/>
  <c r="A57" i="78"/>
  <c r="A56" i="78"/>
  <c r="R55" i="78"/>
  <c r="Q55" i="78"/>
  <c r="P55" i="78"/>
  <c r="O55" i="78"/>
  <c r="N55" i="78"/>
  <c r="M55" i="78"/>
  <c r="L55" i="78"/>
  <c r="K55" i="78"/>
  <c r="A51" i="78"/>
  <c r="A50" i="78"/>
  <c r="A49" i="78"/>
  <c r="A48" i="78"/>
  <c r="A47" i="78"/>
  <c r="A46" i="78"/>
  <c r="A45" i="78"/>
  <c r="A44" i="78"/>
  <c r="A43" i="78"/>
  <c r="A42" i="78"/>
  <c r="A41" i="78"/>
  <c r="A40" i="78"/>
  <c r="A39" i="78"/>
  <c r="A38" i="78"/>
  <c r="A37" i="78"/>
  <c r="A36" i="78"/>
  <c r="A35" i="78"/>
  <c r="A34" i="78"/>
  <c r="A33" i="78"/>
  <c r="A32" i="78"/>
  <c r="A31" i="78"/>
  <c r="A30" i="78"/>
  <c r="A29" i="78"/>
  <c r="A28" i="78"/>
  <c r="A27" i="78"/>
  <c r="A26" i="78"/>
  <c r="A25" i="78"/>
  <c r="A12" i="78"/>
  <c r="P155" i="77"/>
  <c r="O155" i="77"/>
  <c r="P154" i="77"/>
  <c r="O154" i="77"/>
  <c r="P153" i="77"/>
  <c r="O153" i="77"/>
  <c r="P152" i="77"/>
  <c r="O152" i="77"/>
  <c r="O156" i="77" s="1"/>
  <c r="AQ105" i="77"/>
  <c r="AP105" i="77"/>
  <c r="AO105" i="77"/>
  <c r="AN105" i="77"/>
  <c r="AM105" i="77"/>
  <c r="AL105" i="77"/>
  <c r="AK105" i="77"/>
  <c r="AJ105" i="77"/>
  <c r="AI105" i="77"/>
  <c r="AH105" i="77"/>
  <c r="AG105" i="77"/>
  <c r="AF105" i="77"/>
  <c r="AE105" i="77"/>
  <c r="AD105" i="77"/>
  <c r="AC105" i="77"/>
  <c r="AB105" i="77"/>
  <c r="AA105" i="77"/>
  <c r="Z105" i="77"/>
  <c r="Y105" i="77"/>
  <c r="X105" i="77"/>
  <c r="W105" i="77"/>
  <c r="V105" i="77"/>
  <c r="U105" i="77"/>
  <c r="T105" i="77"/>
  <c r="S105" i="77"/>
  <c r="D105" i="77"/>
  <c r="E103" i="77"/>
  <c r="A103" i="77"/>
  <c r="E102" i="77"/>
  <c r="A102" i="77"/>
  <c r="E101" i="77"/>
  <c r="A101" i="77"/>
  <c r="E100" i="77"/>
  <c r="A100" i="77"/>
  <c r="E99" i="77"/>
  <c r="A99" i="77"/>
  <c r="E98" i="77"/>
  <c r="A98" i="77"/>
  <c r="E97" i="77"/>
  <c r="A97" i="77"/>
  <c r="E96" i="77"/>
  <c r="A96" i="77"/>
  <c r="E95" i="77"/>
  <c r="A95" i="77"/>
  <c r="E94" i="77"/>
  <c r="A94" i="77"/>
  <c r="E93" i="77"/>
  <c r="A93" i="77"/>
  <c r="E92" i="77"/>
  <c r="A92" i="77"/>
  <c r="E91" i="77"/>
  <c r="A91" i="77"/>
  <c r="E90" i="77"/>
  <c r="A90" i="77"/>
  <c r="E89" i="77"/>
  <c r="A89" i="77"/>
  <c r="E88" i="77"/>
  <c r="A88" i="77"/>
  <c r="E87" i="77"/>
  <c r="A87" i="77"/>
  <c r="E86" i="77"/>
  <c r="A86" i="77"/>
  <c r="E85" i="77"/>
  <c r="A85" i="77"/>
  <c r="E84" i="77"/>
  <c r="A84" i="77"/>
  <c r="E83" i="77"/>
  <c r="A83" i="77"/>
  <c r="E82" i="77"/>
  <c r="A82" i="77"/>
  <c r="E81" i="77"/>
  <c r="A81" i="77"/>
  <c r="E80" i="77"/>
  <c r="A80" i="77"/>
  <c r="E79" i="77"/>
  <c r="A79" i="77"/>
  <c r="E78" i="77"/>
  <c r="A78" i="77"/>
  <c r="A75" i="77"/>
  <c r="A74" i="77"/>
  <c r="A73" i="77"/>
  <c r="A72" i="77"/>
  <c r="A71" i="77"/>
  <c r="A70" i="77"/>
  <c r="A69" i="77"/>
  <c r="A68" i="77"/>
  <c r="A67" i="77"/>
  <c r="A66" i="77"/>
  <c r="A65" i="77"/>
  <c r="A64" i="77"/>
  <c r="A63" i="77"/>
  <c r="A62" i="77"/>
  <c r="A61" i="77"/>
  <c r="A60" i="77"/>
  <c r="A59" i="77"/>
  <c r="A58" i="77"/>
  <c r="A57" i="77"/>
  <c r="A56" i="77"/>
  <c r="R55" i="77"/>
  <c r="Q55" i="77"/>
  <c r="P55" i="77"/>
  <c r="O55" i="77"/>
  <c r="N55" i="77"/>
  <c r="M55" i="77"/>
  <c r="L55" i="77"/>
  <c r="K55" i="77"/>
  <c r="A51" i="77"/>
  <c r="A50" i="77"/>
  <c r="A49" i="77"/>
  <c r="A48" i="77"/>
  <c r="A47" i="77"/>
  <c r="A46" i="77"/>
  <c r="A45" i="77"/>
  <c r="A44" i="77"/>
  <c r="A43" i="77"/>
  <c r="A42" i="77"/>
  <c r="A41" i="77"/>
  <c r="A40" i="77"/>
  <c r="A39" i="77"/>
  <c r="A38" i="77"/>
  <c r="A37" i="77"/>
  <c r="A36" i="77"/>
  <c r="A35" i="77"/>
  <c r="A34" i="77"/>
  <c r="A33" i="77"/>
  <c r="A32" i="77"/>
  <c r="A31" i="77"/>
  <c r="A30" i="77"/>
  <c r="A29" i="77"/>
  <c r="A28" i="77"/>
  <c r="A27" i="77"/>
  <c r="A26" i="77"/>
  <c r="A25" i="77"/>
  <c r="A12" i="77"/>
  <c r="A62" i="83" l="1"/>
  <c r="N44" i="1"/>
  <c r="N43" i="1"/>
  <c r="N59" i="1"/>
  <c r="N45" i="1"/>
  <c r="N46" i="1"/>
  <c r="N47" i="1"/>
  <c r="E82" i="76" s="1"/>
  <c r="N48" i="1"/>
  <c r="E83" i="76" s="1"/>
  <c r="N49" i="1"/>
  <c r="E84" i="76" s="1"/>
  <c r="N50" i="1"/>
  <c r="E85" i="76" s="1"/>
  <c r="N51" i="1"/>
  <c r="N52" i="1"/>
  <c r="E87" i="76" s="1"/>
  <c r="N53" i="1"/>
  <c r="N54" i="1"/>
  <c r="N55" i="1"/>
  <c r="N56" i="1"/>
  <c r="N57" i="1"/>
  <c r="E92" i="76" s="1"/>
  <c r="N58" i="1"/>
  <c r="N60" i="1"/>
  <c r="E95" i="76" s="1"/>
  <c r="N61" i="1"/>
  <c r="N62" i="1"/>
  <c r="N63" i="1"/>
  <c r="E98" i="76" s="1"/>
  <c r="N64" i="1"/>
  <c r="E99" i="76" s="1"/>
  <c r="N65" i="1"/>
  <c r="E100" i="76" s="1"/>
  <c r="N66" i="1"/>
  <c r="E101" i="76" s="1"/>
  <c r="N67" i="1"/>
  <c r="N68" i="1"/>
  <c r="N69" i="1"/>
  <c r="N70" i="1"/>
  <c r="N71" i="1"/>
  <c r="N72" i="1"/>
  <c r="N73" i="1"/>
  <c r="N74" i="1"/>
  <c r="N75" i="1"/>
  <c r="N76" i="1"/>
  <c r="N77" i="1"/>
  <c r="N78" i="1"/>
  <c r="N79" i="1"/>
  <c r="N80" i="1"/>
  <c r="N81" i="1"/>
  <c r="N82" i="1"/>
  <c r="N83" i="1"/>
  <c r="N84" i="1"/>
  <c r="L49" i="1"/>
  <c r="L44" i="1"/>
  <c r="L45" i="1"/>
  <c r="L46" i="1"/>
  <c r="L47" i="1"/>
  <c r="L48"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43" i="1"/>
  <c r="P44" i="1"/>
  <c r="P45" i="1"/>
  <c r="P46" i="1"/>
  <c r="A81" i="76" s="1"/>
  <c r="P47" i="1"/>
  <c r="P48" i="1"/>
  <c r="P49" i="1"/>
  <c r="A84" i="76" s="1"/>
  <c r="P50" i="1"/>
  <c r="A85" i="76" s="1"/>
  <c r="P51" i="1"/>
  <c r="A86" i="76" s="1"/>
  <c r="P52" i="1"/>
  <c r="A87" i="76" s="1"/>
  <c r="P53" i="1"/>
  <c r="A88" i="76" s="1"/>
  <c r="P54" i="1"/>
  <c r="A89" i="76" s="1"/>
  <c r="P55" i="1"/>
  <c r="P56" i="1"/>
  <c r="P57" i="1"/>
  <c r="A92" i="76" s="1"/>
  <c r="P58" i="1"/>
  <c r="A93" i="76" s="1"/>
  <c r="P59" i="1"/>
  <c r="A94" i="76" s="1"/>
  <c r="P60" i="1"/>
  <c r="A95" i="76" s="1"/>
  <c r="P61" i="1"/>
  <c r="A96" i="76" s="1"/>
  <c r="P62" i="1"/>
  <c r="P63" i="1"/>
  <c r="A98" i="76" s="1"/>
  <c r="P64" i="1"/>
  <c r="P65" i="1"/>
  <c r="P66" i="1"/>
  <c r="A101" i="76" s="1"/>
  <c r="P67" i="1"/>
  <c r="A102" i="76" s="1"/>
  <c r="P68" i="1"/>
  <c r="A103" i="76" s="1"/>
  <c r="P69" i="1"/>
  <c r="P70" i="1"/>
  <c r="P71" i="1"/>
  <c r="P72" i="1"/>
  <c r="P73" i="1"/>
  <c r="P74" i="1"/>
  <c r="P75" i="1"/>
  <c r="P76" i="1"/>
  <c r="P77" i="1"/>
  <c r="P78" i="1"/>
  <c r="P79" i="1"/>
  <c r="P80" i="1"/>
  <c r="P81" i="1"/>
  <c r="P82" i="1"/>
  <c r="P83" i="1"/>
  <c r="P84" i="1"/>
  <c r="P43" i="1"/>
  <c r="E79" i="76"/>
  <c r="E86" i="76"/>
  <c r="E90" i="76"/>
  <c r="E91" i="76"/>
  <c r="E94" i="76"/>
  <c r="E102" i="76"/>
  <c r="E103" i="76"/>
  <c r="C84" i="1"/>
  <c r="C8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43" i="1"/>
  <c r="K105" i="80" l="1"/>
  <c r="K105" i="83"/>
  <c r="K105" i="79"/>
  <c r="K105" i="78"/>
  <c r="K105" i="82"/>
  <c r="K105" i="77"/>
  <c r="K105" i="76"/>
  <c r="K105" i="81"/>
  <c r="H105" i="77"/>
  <c r="H105" i="79"/>
  <c r="H105" i="82"/>
  <c r="H105" i="81"/>
  <c r="H105" i="80"/>
  <c r="H105" i="78"/>
  <c r="H105" i="76"/>
  <c r="H105" i="83"/>
  <c r="A14" i="77"/>
  <c r="A14" i="81"/>
  <c r="A14" i="80"/>
  <c r="A14" i="78"/>
  <c r="G105" i="81"/>
  <c r="G105" i="76"/>
  <c r="A14" i="83"/>
  <c r="A14" i="82"/>
  <c r="A14" i="79"/>
  <c r="G105" i="78"/>
  <c r="G105" i="80"/>
  <c r="G105" i="83"/>
  <c r="G105" i="77"/>
  <c r="G105" i="82"/>
  <c r="G105" i="79"/>
  <c r="F105" i="77"/>
  <c r="F105" i="76"/>
  <c r="F105" i="78"/>
  <c r="F105" i="79"/>
  <c r="F105" i="80"/>
  <c r="F105" i="81"/>
  <c r="F105" i="82"/>
  <c r="F105" i="83"/>
  <c r="A24" i="83"/>
  <c r="A24" i="80"/>
  <c r="A24" i="77"/>
  <c r="A24" i="81"/>
  <c r="A24" i="78"/>
  <c r="A24" i="82"/>
  <c r="A24" i="79"/>
  <c r="A23" i="82"/>
  <c r="A23" i="79"/>
  <c r="A23" i="77"/>
  <c r="A23" i="83"/>
  <c r="A23" i="80"/>
  <c r="A23" i="78"/>
  <c r="A23" i="81"/>
  <c r="A22" i="79"/>
  <c r="A22" i="82"/>
  <c r="A22" i="80"/>
  <c r="A22" i="77"/>
  <c r="A22" i="78"/>
  <c r="A22" i="83"/>
  <c r="A22" i="81"/>
  <c r="A21" i="79"/>
  <c r="A21" i="80"/>
  <c r="A21" i="78"/>
  <c r="A21" i="81"/>
  <c r="A21" i="77"/>
  <c r="A21" i="82"/>
  <c r="A21" i="83"/>
  <c r="A19" i="82"/>
  <c r="A19" i="80"/>
  <c r="A19" i="81"/>
  <c r="A19" i="79"/>
  <c r="A19" i="78"/>
  <c r="A19" i="83"/>
  <c r="A19" i="77"/>
  <c r="A18" i="82"/>
  <c r="A18" i="81"/>
  <c r="A18" i="80"/>
  <c r="A18" i="79"/>
  <c r="A18" i="78"/>
  <c r="A18" i="77"/>
  <c r="A18" i="83"/>
  <c r="A17" i="80"/>
  <c r="A17" i="77"/>
  <c r="A17" i="83"/>
  <c r="A17" i="79"/>
  <c r="A17" i="82"/>
  <c r="A17" i="78"/>
  <c r="A17" i="81"/>
  <c r="A16" i="81"/>
  <c r="A16" i="77"/>
  <c r="A16" i="79"/>
  <c r="A16" i="83"/>
  <c r="A16" i="82"/>
  <c r="A16" i="80"/>
  <c r="A16" i="78"/>
  <c r="A20" i="80"/>
  <c r="A20" i="83"/>
  <c r="A20" i="77"/>
  <c r="A20" i="82"/>
  <c r="A20" i="81"/>
  <c r="A20" i="79"/>
  <c r="A20" i="78"/>
  <c r="A15" i="78"/>
  <c r="A15" i="80"/>
  <c r="A15" i="79"/>
  <c r="A15" i="81"/>
  <c r="A15" i="83"/>
  <c r="A15" i="77"/>
  <c r="A15" i="82"/>
  <c r="A13" i="81"/>
  <c r="A13" i="80"/>
  <c r="A13" i="79"/>
  <c r="A13" i="77"/>
  <c r="A13" i="83"/>
  <c r="A13" i="82"/>
  <c r="A13" i="78"/>
  <c r="A97" i="76"/>
  <c r="A80" i="76"/>
  <c r="A100" i="76"/>
  <c r="A79" i="76"/>
  <c r="E93" i="76"/>
  <c r="A78" i="76"/>
  <c r="A91" i="76"/>
  <c r="A83" i="76"/>
  <c r="E97" i="76"/>
  <c r="E89" i="76"/>
  <c r="E81" i="76"/>
  <c r="A90" i="76"/>
  <c r="A82" i="76"/>
  <c r="A99" i="76"/>
  <c r="E78" i="76"/>
  <c r="E96" i="76"/>
  <c r="E88" i="76"/>
  <c r="E80" i="76"/>
  <c r="AQ105" i="76"/>
  <c r="AP105" i="76"/>
  <c r="AO105" i="76"/>
  <c r="AN105" i="76"/>
  <c r="AM105" i="76"/>
  <c r="AL105" i="76"/>
  <c r="AK105" i="76"/>
  <c r="AJ105" i="76"/>
  <c r="AI105" i="76"/>
  <c r="AH105" i="76"/>
  <c r="AG105" i="76"/>
  <c r="AF105" i="76"/>
  <c r="AE105" i="76"/>
  <c r="AD105" i="76"/>
  <c r="AC105" i="76"/>
  <c r="AB105" i="76"/>
  <c r="AA105" i="76"/>
  <c r="Z105" i="76"/>
  <c r="Y105" i="76"/>
  <c r="X105" i="76"/>
  <c r="W105" i="76"/>
  <c r="V105" i="76"/>
  <c r="U105" i="76"/>
  <c r="T105" i="76"/>
  <c r="S105" i="76"/>
  <c r="R105" i="76"/>
  <c r="Q105" i="76"/>
  <c r="A75" i="76"/>
  <c r="A74" i="76"/>
  <c r="A73" i="76"/>
  <c r="A72" i="76"/>
  <c r="A71" i="76"/>
  <c r="A70" i="76"/>
  <c r="A69" i="76"/>
  <c r="A68" i="76"/>
  <c r="A67" i="76"/>
  <c r="A66" i="76"/>
  <c r="A65" i="76"/>
  <c r="A64" i="76"/>
  <c r="A63" i="76"/>
  <c r="A62" i="76"/>
  <c r="A61" i="76"/>
  <c r="A60" i="76"/>
  <c r="A59" i="76"/>
  <c r="A58" i="76"/>
  <c r="A57" i="76"/>
  <c r="A56" i="76"/>
  <c r="R55" i="76"/>
  <c r="Q55" i="76"/>
  <c r="P55" i="76"/>
  <c r="O55" i="76"/>
  <c r="N55" i="76"/>
  <c r="M55" i="76"/>
  <c r="L55" i="76"/>
  <c r="K55" i="76"/>
  <c r="A51" i="76"/>
  <c r="A50" i="76"/>
  <c r="A49" i="76"/>
  <c r="A48" i="76"/>
  <c r="A47" i="76"/>
  <c r="A46" i="76"/>
  <c r="A45" i="76"/>
  <c r="A44" i="76"/>
  <c r="A43" i="76"/>
  <c r="A42" i="76"/>
  <c r="A41" i="76"/>
  <c r="A40" i="76"/>
  <c r="A39" i="76"/>
  <c r="A38" i="76"/>
  <c r="A37" i="76"/>
  <c r="A36" i="76"/>
  <c r="A35" i="76"/>
  <c r="A34" i="76"/>
  <c r="A33" i="76"/>
  <c r="A32" i="76"/>
  <c r="A31" i="76"/>
  <c r="A30" i="76"/>
  <c r="A29" i="76"/>
  <c r="A28" i="76"/>
  <c r="A27" i="76"/>
  <c r="A26" i="76"/>
  <c r="A25" i="76"/>
  <c r="A24" i="76"/>
  <c r="A23" i="76"/>
  <c r="A22" i="76"/>
  <c r="A21" i="76"/>
  <c r="A20" i="76"/>
  <c r="A19" i="76"/>
  <c r="A18" i="76"/>
  <c r="A17" i="76"/>
  <c r="A16" i="76"/>
  <c r="A15" i="76"/>
  <c r="A14" i="76"/>
  <c r="A13" i="76"/>
  <c r="A12" i="76"/>
  <c r="D19" i="75"/>
  <c r="D5" i="75"/>
  <c r="G27" i="75"/>
  <c r="G30" i="75"/>
  <c r="D8" i="75"/>
  <c r="D35" i="75"/>
  <c r="G38" i="75"/>
  <c r="D41" i="75"/>
  <c r="D31" i="75"/>
  <c r="G36" i="75"/>
  <c r="G35" i="75"/>
  <c r="G17" i="75"/>
  <c r="G19" i="75"/>
  <c r="G45" i="75"/>
  <c r="G37" i="75"/>
  <c r="D34" i="75"/>
  <c r="D39" i="75"/>
  <c r="G14" i="75"/>
  <c r="D38" i="75"/>
  <c r="D28" i="75"/>
  <c r="G10" i="75"/>
  <c r="D42" i="75"/>
  <c r="D46" i="75"/>
  <c r="D10" i="75"/>
  <c r="D25" i="75"/>
  <c r="G47" i="75"/>
  <c r="D43" i="75"/>
  <c r="G34" i="75"/>
  <c r="D16" i="75"/>
  <c r="G5" i="75"/>
  <c r="G50" i="75"/>
  <c r="D6" i="75"/>
  <c r="D13" i="75"/>
  <c r="D11" i="75"/>
  <c r="D29" i="75"/>
  <c r="D49" i="75"/>
  <c r="D15" i="75"/>
  <c r="D23" i="75"/>
  <c r="G39" i="75"/>
  <c r="D24" i="75"/>
  <c r="D50" i="75"/>
  <c r="D17" i="75"/>
  <c r="G46" i="75"/>
  <c r="G12" i="75"/>
  <c r="G49" i="75"/>
  <c r="D12" i="75"/>
  <c r="D21" i="75"/>
  <c r="D26" i="75"/>
  <c r="D27" i="75"/>
  <c r="D36" i="75"/>
  <c r="D30" i="75"/>
  <c r="G9" i="75"/>
  <c r="D45" i="75"/>
  <c r="G15" i="75"/>
  <c r="G20" i="75"/>
  <c r="G33" i="75"/>
  <c r="G21" i="75"/>
  <c r="D48" i="75"/>
  <c r="D47" i="75"/>
  <c r="G42" i="75"/>
  <c r="D37" i="75"/>
  <c r="G28" i="75"/>
  <c r="D44" i="75"/>
  <c r="G48" i="75"/>
  <c r="G43" i="75"/>
  <c r="G29" i="75"/>
  <c r="G31" i="75"/>
  <c r="D9" i="75"/>
  <c r="G16" i="75"/>
  <c r="G8" i="75"/>
  <c r="D40" i="75"/>
  <c r="D7" i="75"/>
  <c r="G18" i="75"/>
  <c r="D14" i="75"/>
  <c r="D22" i="75"/>
  <c r="G32" i="75"/>
  <c r="G44" i="75"/>
  <c r="G11" i="75"/>
  <c r="G7" i="75"/>
  <c r="G6" i="75"/>
  <c r="D18" i="75"/>
  <c r="G25" i="75"/>
  <c r="G13" i="75"/>
  <c r="D32" i="75"/>
  <c r="G26" i="75"/>
  <c r="G41" i="75"/>
  <c r="G22" i="75"/>
  <c r="D33" i="75"/>
  <c r="G23" i="75"/>
  <c r="D20" i="75"/>
  <c r="G24" i="75"/>
  <c r="G40" i="75"/>
  <c r="J14" i="5" l="1"/>
  <c r="J13" i="5"/>
  <c r="L11" i="5"/>
  <c r="L10" i="5"/>
  <c r="L9" i="5"/>
  <c r="L8" i="5"/>
  <c r="L7" i="5"/>
  <c r="L6" i="5"/>
  <c r="L5" i="5"/>
  <c r="L4" i="5"/>
  <c r="P153" i="76" l="1"/>
  <c r="P155" i="76"/>
  <c r="P154" i="76"/>
  <c r="P152" i="76"/>
  <c r="O152" i="76"/>
  <c r="O155" i="76"/>
  <c r="O154" i="76"/>
  <c r="O153" i="76"/>
  <c r="O156" i="76" l="1"/>
  <c r="D4" i="75"/>
  <c r="G4" i="75"/>
</calcChain>
</file>

<file path=xl/sharedStrings.xml><?xml version="1.0" encoding="utf-8"?>
<sst xmlns="http://schemas.openxmlformats.org/spreadsheetml/2006/main" count="1927" uniqueCount="394">
  <si>
    <t>Schritt 0 - Überprüfung der Ressourcen Datenbank</t>
  </si>
  <si>
    <t>Bevor mit der Bearbeitung des Templates begonnen werden kann, ist zu überprüfen, ob die Daten auf dem Blatt "Ressourcen DB" aktuell sind. Fehlende Daten sind zu ergänzen, überflüssig Einträge zu löschen.</t>
  </si>
  <si>
    <t>Schritt 1 - Stammdatenerhebung im Blatt "Allgemein"</t>
  </si>
  <si>
    <r>
      <t xml:space="preserve">Im Blatt "Allgemein" sind zunächst Daten wie Prozesse, Rollen, Lokationen, Standorte und Ressourcen aufzunehmen. Besondere Relevanz haben die </t>
    </r>
    <r>
      <rPr>
        <b/>
        <sz val="11"/>
        <rFont val="Calibri"/>
        <family val="2"/>
        <scheme val="minor"/>
      </rPr>
      <t>Informationen</t>
    </r>
    <r>
      <rPr>
        <sz val="11"/>
        <rFont val="Calibri"/>
        <family val="2"/>
        <scheme val="minor"/>
      </rPr>
      <t>, die für die Erhebung der Schutzbedarfe der Einzelprozesse benötigt werden.</t>
    </r>
  </si>
  <si>
    <t>Schritt 2 - Erhebung der Informationscluster</t>
  </si>
  <si>
    <t>Im Blatt "Informationscluster" sind die relevanten Informationscluster aufzunehmen. Optional kann eine Beschreibung des Clusters angegeben werden. Die Angabe einer Vertraulichkeitseinstufung ist hingegen notwendig.</t>
  </si>
  <si>
    <t>Schritt 3 - Pflege des Softwareinventars</t>
  </si>
  <si>
    <t>Im Blatt "Software Inventar" ist die im Geltungsbereich verwendete Software hinterlegt. Daher sind die relevanten Assets vor der Bearbeitung zu erheben und dort einzufügen.</t>
  </si>
  <si>
    <t>Schritt 4 - Schutzbedarfsfeststellung auf Prozessebene</t>
  </si>
  <si>
    <r>
      <t xml:space="preserve">Die Schutzbedarfsfeststellung erfolgt in den Blättern "P1" - "Pn". Zunächst sind dort jeweils die Stammdaten des Prozesses einzutragen. Nachfolgend sind die Informationen, Rollen, Dienstleister und zusätzlichen Ressourcen hinsichtlich ihrer Prozessrelevanz zu bewerten. Bei den Informationen hat anschließend eine Bewertung der Schutzziele Vertraulichkeit, Integrität, Authentizität und Verfügbarkeit sowie der DSGVO Relevanz zu erfolgen. Die Bewertung ist kurz zu begründen.
Im vorletzten Schritt sind in der Tabelle </t>
    </r>
    <r>
      <rPr>
        <i/>
        <sz val="11"/>
        <rFont val="Calibri"/>
        <family val="2"/>
        <scheme val="minor"/>
      </rPr>
      <t>IT-Anwendungen</t>
    </r>
    <r>
      <rPr>
        <sz val="11"/>
        <rFont val="Calibri"/>
        <family val="2"/>
        <scheme val="minor"/>
      </rPr>
      <t xml:space="preserve"> die relevanten Anwendungen über das Drop-Down-Menü auszuwählen. In der Kreuzreferenztabelle daneben sind entsprechend der Relevanz der Information für die Anwendung Kreuze zu setzen.</t>
    </r>
  </si>
  <si>
    <t>Schritt 5 - Business Impact Analyse für die Verfügbarkeit des Prozesses</t>
  </si>
  <si>
    <t>Zuletzt muss in den Blättern "P1" - "Pn" im Rahmen der BIA die Verfügbarkeit des Prozesses über einen zuvor definierten Horizont bewertet werden. Dies ist für vier Schadenskategorien über bis zu 8 Horizonten möglich, die sich über das Blatt "ISM Klassifizierung" anpassen lassen. Mit der Bewertung der Klassen (von 1 gering - 4 sehr hoch) berechnet sich anhand des Untragbarkeitsniveau (Standard: 3 hoch) die Maximal tolerbierbare Ausfallzeit (MTA) des Prozesses.</t>
  </si>
  <si>
    <t>Im Blatt "Kreuzreferenztabelle" kann als letzter Schritt der Bearbeitung des Templates eine Kreuzreferenztabelle für die Anwendungen und den maximalen Schutzbedarf aus allen Prozessblättern erzeugt werden. Dies erfolgt nach einem Klick auf den entsprechenden Button.</t>
  </si>
  <si>
    <t>Schutzbedarfsfeststellung auf Prozessebene 
Stammdatenerhebung:</t>
  </si>
  <si>
    <t>Ansprechpartner / Prozessverantwortlicher:</t>
  </si>
  <si>
    <t>Welche Aufgaben / Tätigkeiten werden im Rahmen der Organisationseinheit / des Prozessbereichs (Ebene 2) ausgeführt?</t>
  </si>
  <si>
    <t>Ansprechpartner</t>
  </si>
  <si>
    <t>ID</t>
  </si>
  <si>
    <t>Quelle</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</si>
  <si>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</si>
  <si>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</si>
  <si>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</si>
  <si>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</si>
  <si>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</si>
  <si>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</si>
  <si>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</si>
  <si>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</si>
  <si>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</si>
  <si>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</si>
  <si>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</si>
  <si>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</si>
  <si>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</si>
  <si>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</si>
  <si>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</si>
  <si>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</si>
  <si>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</si>
  <si>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</si>
  <si>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</si>
  <si>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</si>
  <si>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</si>
  <si>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</si>
  <si>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</si>
  <si>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</si>
  <si>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</si>
  <si>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</si>
  <si>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</si>
  <si>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</si>
  <si>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</si>
  <si>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</si>
  <si>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Welche Informationen könnten in den o.g.Prozessen / Aufgaben und Tätigkeiten bearbeitet werden? (Stammdatenerhebung)</t>
  </si>
  <si>
    <t>An welchen Lokationen werden die o.g. Prozesse / Aufgaben und Tätigkeiten durchgeführt? (Stammdatenerhebung)</t>
  </si>
  <si>
    <t>An welchen Standorten werden die o.g. Prozesse / Aufgaben und Tätigkeiten durchgeführt? (Stammdatenerhebung)</t>
  </si>
  <si>
    <t>Welche zusätzlichen Ressourcen könnten in den o.g. Prozessen / Aufgaben und Tätigkeiten beteiligt werden? (Stammdatenerhebung)</t>
  </si>
  <si>
    <t>Welche Dienstleister könnten in den o.g. Prozessen / Aufgaben und Tätigkeiten beteiligt werden? (Stammdatenerhebung)</t>
  </si>
  <si>
    <t>Informationen</t>
  </si>
  <si>
    <t>Rollen</t>
  </si>
  <si>
    <t>Standorte</t>
  </si>
  <si>
    <t>Zusätzliche Ressourcen und techn. Geräte</t>
  </si>
  <si>
    <t>Dienstleister</t>
  </si>
  <si>
    <t>Ansprechpartner:</t>
  </si>
  <si>
    <t>Weitere Experten:</t>
  </si>
  <si>
    <t>Datum der Erfassung:</t>
  </si>
  <si>
    <t>Informationssicherheitsklassifizierung</t>
  </si>
  <si>
    <t>prozess-
relevant</t>
  </si>
  <si>
    <t>Vertraulichkeit</t>
  </si>
  <si>
    <t>Integrität</t>
  </si>
  <si>
    <t>Authentizität</t>
  </si>
  <si>
    <t>Verfügbarkeit
(Normalbetrieb)</t>
  </si>
  <si>
    <t>DSGVO relevant</t>
  </si>
  <si>
    <t>Im Notbetrieb benötigt?</t>
  </si>
  <si>
    <t>Begründung der Einstufung</t>
  </si>
  <si>
    <t>1 gering</t>
  </si>
  <si>
    <t>2 mittel</t>
  </si>
  <si>
    <t>3 hoch</t>
  </si>
  <si>
    <t>Täglich (Kalendertag)</t>
  </si>
  <si>
    <t>-</t>
  </si>
  <si>
    <t>Ressourcensicht</t>
  </si>
  <si>
    <t>Lokation</t>
  </si>
  <si>
    <t>Standort</t>
  </si>
  <si>
    <t>Zusätzliche Ressourcen und technische Geräte</t>
  </si>
  <si>
    <t>IT-Anwendung</t>
  </si>
  <si>
    <t>Ja</t>
  </si>
  <si>
    <t>Verfügbarkeit - Business Impact Analyse</t>
  </si>
  <si>
    <t>Auswirkungen</t>
  </si>
  <si>
    <t>Schattentabelle</t>
  </si>
  <si>
    <t>Schadenskategorie</t>
  </si>
  <si>
    <t/>
  </si>
  <si>
    <t>Vorgelagerter Prozess</t>
  </si>
  <si>
    <t>MTA</t>
  </si>
  <si>
    <t>Korrigierte MTA</t>
  </si>
  <si>
    <t>Index</t>
  </si>
  <si>
    <t>Korrektur</t>
  </si>
  <si>
    <t>Verstoß gegen Gesetze, Vorschriften oder Verträge</t>
  </si>
  <si>
    <t>Beeinträchtigung der Aufgabenerfüllung</t>
  </si>
  <si>
    <t>Negative Außenwirkung</t>
  </si>
  <si>
    <t>Finanzielle Auswirkungen</t>
  </si>
  <si>
    <t>Finale MTA:</t>
  </si>
  <si>
    <t>Informationsicherheitsklassifizierung</t>
  </si>
  <si>
    <t>Beschreibung</t>
  </si>
  <si>
    <t>Schutzbedarfsklasse</t>
  </si>
  <si>
    <t>Schadenszenario</t>
  </si>
  <si>
    <t>Werte RPO</t>
  </si>
  <si>
    <t>Werte MTA / Horizont</t>
  </si>
  <si>
    <t>Werte RTO</t>
  </si>
  <si>
    <r>
      <t>- Einstufung der Informationen als</t>
    </r>
    <r>
      <rPr>
        <b/>
        <sz val="10"/>
        <color indexed="8"/>
        <rFont val="Arial"/>
        <family val="2"/>
      </rPr>
      <t xml:space="preserve"> „öffentlich“</t>
    </r>
    <r>
      <rPr>
        <sz val="10"/>
        <color indexed="8"/>
        <rFont val="Arial"/>
        <family val="2"/>
      </rPr>
      <t xml:space="preserve">
Möglicher Zugriff auf Informationen von jedem (innerhalb und außerhalb des Unternehmens)
- </t>
    </r>
    <r>
      <rPr>
        <b/>
        <sz val="10"/>
        <color indexed="8"/>
        <rFont val="Arial"/>
        <family val="2"/>
      </rPr>
      <t>Kein Schaden</t>
    </r>
    <r>
      <rPr>
        <sz val="10"/>
        <color indexed="8"/>
        <rFont val="Arial"/>
        <family val="2"/>
      </rPr>
      <t xml:space="preserve"> bei Veröffentlichung der Informationen</t>
    </r>
  </si>
  <si>
    <r>
      <t xml:space="preserve">- </t>
    </r>
    <r>
      <rPr>
        <b/>
        <sz val="10"/>
        <color indexed="8"/>
        <rFont val="Arial"/>
        <family val="2"/>
      </rPr>
      <t xml:space="preserve">begrenzte </t>
    </r>
    <r>
      <rPr>
        <sz val="10"/>
        <color indexed="8"/>
        <rFont val="Arial"/>
        <family val="2"/>
      </rPr>
      <t>Folgen bei Verstößen gegen Gesetze, Vertragsbestimmungen und Vorschriften (z.B. unbedeutend niedrige Bußgelder, Vetragsstrafen o.ä.)</t>
    </r>
  </si>
  <si>
    <t>Transaktionsgenau</t>
  </si>
  <si>
    <r>
      <t>- Einstufung der Informationen als</t>
    </r>
    <r>
      <rPr>
        <b/>
        <sz val="10"/>
        <color indexed="8"/>
        <rFont val="Arial"/>
        <family val="2"/>
      </rPr>
      <t xml:space="preserve"> „intern“</t>
    </r>
    <r>
      <rPr>
        <sz val="10"/>
        <color indexed="8"/>
        <rFont val="Arial"/>
        <family val="2"/>
      </rPr>
      <t xml:space="preserve"> 
Möglicher Zugriff nur für Mitarbeiter
- </t>
    </r>
    <r>
      <rPr>
        <b/>
        <sz val="10"/>
        <color indexed="8"/>
        <rFont val="Arial"/>
        <family val="2"/>
      </rPr>
      <t>Mittlerer Schaden</t>
    </r>
    <r>
      <rPr>
        <sz val="10"/>
        <color indexed="8"/>
        <rFont val="Arial"/>
        <family val="2"/>
      </rPr>
      <t xml:space="preserve"> bei Veröffentlichung der Informationen</t>
    </r>
  </si>
  <si>
    <r>
      <t xml:space="preserve">- </t>
    </r>
    <r>
      <rPr>
        <b/>
        <sz val="10"/>
        <color indexed="8"/>
        <rFont val="Arial"/>
        <family val="2"/>
      </rPr>
      <t>tolerable</t>
    </r>
    <r>
      <rPr>
        <sz val="10"/>
        <color indexed="8"/>
        <rFont val="Arial"/>
        <family val="2"/>
      </rPr>
      <t xml:space="preserve"> Folgen bei Verstößen gegen Gesetze, Vertragsbestimmungen und Vorschriften (z.B. geringe Bußgelder, Vetragsstrafen o.ä.)
Besonderheit Datenschutz:
Die Verarbeitung personenbezogener Daten ist ein Eingriff in die Grundrechte der betroffenen Person. Daher kann der Schutzbedarf niemals niedriger als „mittel“ sein.
Beispiele für personenbezogene Daten:
Telefonnr., Adressen, Bankverbindungen, Geburtsjahr</t>
    </r>
  </si>
  <si>
    <t>Stündlich</t>
  </si>
  <si>
    <t>12:00 am Tag</t>
  </si>
  <si>
    <t>Täglich (Werktag)</t>
  </si>
  <si>
    <r>
      <t xml:space="preserve">- </t>
    </r>
    <r>
      <rPr>
        <b/>
        <sz val="10"/>
        <color indexed="8"/>
        <rFont val="Arial"/>
        <family val="2"/>
      </rPr>
      <t>begrenzte</t>
    </r>
    <r>
      <rPr>
        <sz val="10"/>
        <color indexed="8"/>
        <rFont val="Arial"/>
        <family val="2"/>
      </rPr>
      <t xml:space="preserve"> Störung bei Erfüllung der Aufgabe
- Erfüllung von anderen Geräten, Mitarbeitern oder Methoden mit </t>
    </r>
    <r>
      <rPr>
        <b/>
        <sz val="10"/>
        <color indexed="8"/>
        <rFont val="Arial"/>
        <family val="2"/>
      </rPr>
      <t>begrenztem</t>
    </r>
    <r>
      <rPr>
        <sz val="10"/>
        <color indexed="8"/>
        <rFont val="Arial"/>
        <family val="2"/>
      </rPr>
      <t xml:space="preserve"> Mehraufwand</t>
    </r>
  </si>
  <si>
    <r>
      <t xml:space="preserve">- </t>
    </r>
    <r>
      <rPr>
        <b/>
        <sz val="10"/>
        <color indexed="8"/>
        <rFont val="Arial"/>
        <family val="2"/>
      </rPr>
      <t>tolerable</t>
    </r>
    <r>
      <rPr>
        <sz val="10"/>
        <color indexed="8"/>
        <rFont val="Arial"/>
        <family val="2"/>
      </rPr>
      <t xml:space="preserve"> Störung bei Erfüllung der Aufgabe
- Erfüllung vonanderen Geräten, Mitarbeitern oder Methoden mit </t>
    </r>
    <r>
      <rPr>
        <b/>
        <sz val="10"/>
        <color indexed="8"/>
        <rFont val="Arial"/>
        <family val="2"/>
      </rPr>
      <t>vertretbarem</t>
    </r>
    <r>
      <rPr>
        <sz val="10"/>
        <color indexed="8"/>
        <rFont val="Arial"/>
        <family val="2"/>
      </rPr>
      <t xml:space="preserve"> Mehraufwand</t>
    </r>
  </si>
  <si>
    <t>Wöchentlich</t>
  </si>
  <si>
    <r>
      <t xml:space="preserve">- </t>
    </r>
    <r>
      <rPr>
        <b/>
        <sz val="10"/>
        <color indexed="8"/>
        <rFont val="Arial"/>
        <family val="2"/>
      </rPr>
      <t xml:space="preserve">Kein Schaden </t>
    </r>
    <r>
      <rPr>
        <sz val="10"/>
        <color indexed="8"/>
        <rFont val="Arial"/>
        <family val="2"/>
      </rPr>
      <t>durch eine nicht autorisierte Änderung oder eine unbekannte Änderung von Informationen</t>
    </r>
  </si>
  <si>
    <t>Monatlich</t>
  </si>
  <si>
    <r>
      <rPr>
        <sz val="10"/>
        <color indexed="8"/>
        <rFont val="Arial"/>
        <family val="2"/>
      </rPr>
      <t xml:space="preserve">- </t>
    </r>
    <r>
      <rPr>
        <b/>
        <sz val="10"/>
        <color indexed="8"/>
        <rFont val="Arial"/>
        <family val="2"/>
      </rPr>
      <t xml:space="preserve">Mittlere Schaden </t>
    </r>
    <r>
      <rPr>
        <sz val="10"/>
        <color indexed="8"/>
        <rFont val="Arial"/>
        <family val="2"/>
      </rPr>
      <t>durch eine nicht autorisierte Änderung oder eine unbekannte Änderung von Informationen</t>
    </r>
  </si>
  <si>
    <r>
      <t xml:space="preserve">- </t>
    </r>
    <r>
      <rPr>
        <b/>
        <sz val="10"/>
        <color indexed="8"/>
        <rFont val="Arial"/>
        <family val="2"/>
      </rPr>
      <t>tolerabler</t>
    </r>
    <r>
      <rPr>
        <sz val="10"/>
        <color indexed="8"/>
        <rFont val="Arial"/>
        <family val="2"/>
      </rPr>
      <t xml:space="preserve"> Vetrauensverlust
- </t>
    </r>
    <r>
      <rPr>
        <b/>
        <sz val="10"/>
        <color indexed="8"/>
        <rFont val="Arial"/>
        <family val="2"/>
      </rPr>
      <t>mögliche</t>
    </r>
    <r>
      <rPr>
        <sz val="10"/>
        <color indexed="8"/>
        <rFont val="Arial"/>
        <family val="2"/>
      </rPr>
      <t xml:space="preserve"> Wahrnehmung in der Öffentlichkeit
- Wahrnehmung bei Kunden und/oder Partner</t>
    </r>
  </si>
  <si>
    <t>Anzahl Klassen</t>
  </si>
  <si>
    <t>Anzahl Zeiträume</t>
  </si>
  <si>
    <t>Verfügbarkeit</t>
  </si>
  <si>
    <r>
      <rPr>
        <b/>
        <sz val="10"/>
        <color indexed="8"/>
        <rFont val="Arial"/>
        <family val="2"/>
      </rPr>
      <t xml:space="preserve">- Kein Schaden </t>
    </r>
    <r>
      <rPr>
        <sz val="10"/>
        <color indexed="8"/>
        <rFont val="Arial"/>
        <family val="2"/>
      </rPr>
      <t xml:space="preserve">bei Verschiebung oder manueller Durchführung der Verarbeitung von Informationen um </t>
    </r>
    <r>
      <rPr>
        <b/>
        <sz val="10"/>
        <color indexed="8"/>
        <rFont val="Arial"/>
        <family val="2"/>
      </rPr>
      <t>einige Tage</t>
    </r>
  </si>
  <si>
    <r>
      <t xml:space="preserve">- Verschiebung der Verarbeitung von Informationen um </t>
    </r>
    <r>
      <rPr>
        <b/>
        <sz val="10"/>
        <color indexed="8"/>
        <rFont val="Arial"/>
        <family val="2"/>
      </rPr>
      <t xml:space="preserve">wenige Tage </t>
    </r>
    <r>
      <rPr>
        <sz val="10"/>
        <color indexed="8"/>
        <rFont val="Arial"/>
        <family val="2"/>
      </rPr>
      <t xml:space="preserve">möglich
- </t>
    </r>
    <r>
      <rPr>
        <b/>
        <sz val="10"/>
        <color indexed="8"/>
        <rFont val="Arial"/>
        <family val="2"/>
      </rPr>
      <t xml:space="preserve">Mittlerer Schäden </t>
    </r>
    <r>
      <rPr>
        <sz val="10"/>
        <color indexed="8"/>
        <rFont val="Arial"/>
        <family val="2"/>
      </rPr>
      <t xml:space="preserve">bei manueller Durchführung der Verarbeitung denkbar </t>
    </r>
  </si>
  <si>
    <t>Verstöße gegen Gesetze oder Verträge</t>
  </si>
  <si>
    <t>- Mit welchen Rechtsansprüchen oder Pönalen ist zu rechnen, wenn die Informationen aus dem Prozess an unberechtigte Dritter weitergegeben werden?
- Welche finanziellen Nachteile ergeben sich, wenn die Informationen aus dem Prozess an unberechtigte Dritte weitergegeben werden?
- Welche strategischen Nachteile ergeben sich, wenn die Informationen aus dem Prozess an unberechtigte Dritte weitergegeben werden?</t>
  </si>
  <si>
    <t xml:space="preserve">- Welcher Reputationsverlust bei Kunden, Partnern und Dienstleistern ist zu erwarten, wenn Informationen/Daten aus dem Prozess an unberechtigte Dritte gelangen?
- Welche medienwirksame Bedeutung ist zu erwarten, wenn Informationen aus dem Prozess an unberechtigte Dritte gelangen?
</t>
  </si>
  <si>
    <t>- Ist im Falle einer Veröffentlichung von Informationen  aus dem Prozess mit Regressforderungen zu rechnen?</t>
  </si>
  <si>
    <t>- Hat eine Offenlegung bzw. der Verlust der Vertraulichkeit von Informationen aus dem Prozess, die die Grundlage für die Erfüllung von Aufgaben oder Geschäftsabläufen sind, Auswirkungen auf die Aufgabenerfüllung?</t>
  </si>
  <si>
    <t>- Mit welchen Schäden (z. B. operative Mehraufwände, Kosten für Korrekturmaßnahmen oder finanzielle Schäden) ist im Falle unberechtigter Veränderung von Informationen/Daten des Prozess zu rechnen?</t>
  </si>
  <si>
    <t>- Welcher Reputationsverlust bei Kunden, Partnern oder Dienstleistern ist zu erwarten, wenn Informationen/Daten aus dem Prozess unberechtigt verändert werden?</t>
  </si>
  <si>
    <t>- Ist im Falle einer Weitergabe von falschen Informationen/Daten mit Regressforderungen zu rechnen?</t>
  </si>
  <si>
    <t>- Ist mit Beeinträchtigungen bei der Aufgabenerfüllung zu rechnen, wenn Informationen in dem Prozess unberechtigt verändert werden?</t>
  </si>
  <si>
    <t>- Mit welchen Schäden (z. B. operative Mehraufwände, Kosten für Wiederherstellungsmaßnahmen oder finanzielle Schäden) ist im Falle von IT-System-Ausfällen zu rechnen?
- Mit welchen Rechtsansprüchen oder Pönalen ist zu rechnen, wenn es zu IT-System-Ausfällen in dem Prozess kommt?</t>
  </si>
  <si>
    <t>- Welcher Reputationsverlust bei Kunden, Partnern oder Dienstleistern ist zu erwarten, wenn IT-Systeme innerhalb vom Prozess nicht zur Verfügung stehen?
- Welche medienwirksame Bedeutung ist zu erwarten, wenn IT-Systeme innerhalb vom Prozess nicht zur Verfügung stehen?</t>
  </si>
  <si>
    <t>- Ergeben sich Regressanforderungen, wenn IT-Systeme innerhalb vom Prozess nicht wiederherstellbar sind?</t>
  </si>
  <si>
    <t>- Hat ein IT-System-Ausfall innerhalb vom Prozess Einfluss auf die Geschäftsabläufe / Aufgabenerfüllung?</t>
  </si>
  <si>
    <t>- Wie hoch ist der zu erwartende finanzielle Schaden, wenn die Informationen/Daten der Prozess nicht von der angegebenen Quelle stammen?
- Mit welchen Aufwänden - finanziell und/oder personell - ist im Falle der Verarbeitung unauthentifizierter Daten/Informationen des Prozess zu rechnen?</t>
  </si>
  <si>
    <t>- Welcher Reputationsverlust bei Kunden, Partnern oder Dienstleistern ist zu erwarten, wenn Informationen/Daten vom Prozess nicht von der angegebenen Quelle stammen und verarbeitet werden?</t>
  </si>
  <si>
    <t>- Ergeben sich Regressanforderungen, wenn Informationen/Daten vom Prozess nicht von der angegebenen Quelle stammen und verarbeitet werden?</t>
  </si>
  <si>
    <t>- Mit welchen Beeinträchtigungen bei der Aufgabenerfüllung ist zu rechnen, wenn Informationen vom Prozess nicht von der angegebenen Quelle stammen?</t>
  </si>
  <si>
    <t>Informationscluster</t>
  </si>
  <si>
    <t>Vertraulichkeitseinstufung (default)</t>
  </si>
  <si>
    <t>Test-Dokumentation</t>
  </si>
  <si>
    <t>Abnahmedokumentation</t>
  </si>
  <si>
    <t>Change Request</t>
  </si>
  <si>
    <t>SLAs</t>
  </si>
  <si>
    <t>OLAs</t>
  </si>
  <si>
    <t>Software Inventar</t>
  </si>
  <si>
    <t>Name</t>
  </si>
  <si>
    <t>Kurzbeschreibung</t>
  </si>
  <si>
    <t>Prozessabhängigkeiten</t>
  </si>
  <si>
    <t>Organisationseinheit</t>
  </si>
  <si>
    <t>MTA des vorg. Geschäfts-prozesses</t>
  </si>
  <si>
    <t>kritischer Geschäftsprozess</t>
  </si>
  <si>
    <t>MTA des kritischen Geschäts-prozesses</t>
  </si>
  <si>
    <r>
      <rPr>
        <b/>
        <sz val="11"/>
        <color theme="1"/>
        <rFont val="Calibri"/>
        <family val="2"/>
        <scheme val="minor"/>
      </rPr>
      <t xml:space="preserve">Hinweis: </t>
    </r>
    <r>
      <rPr>
        <sz val="11"/>
        <color theme="1"/>
        <rFont val="Calibri"/>
        <family val="2"/>
        <scheme val="minor"/>
      </rPr>
      <t>Falls in den Spalten D und G die Formel überschrieben oder gelöscht wurde, können die folgenden Formeln wieder eingesetzt werden:
Spalte D: =WENNFEHLER(INDIREKT(VERKETTEN(B</t>
    </r>
    <r>
      <rPr>
        <sz val="11"/>
        <color rgb="FFFF0000"/>
        <rFont val="Calibri"/>
        <family val="2"/>
        <scheme val="minor"/>
      </rPr>
      <t>ZEILE</t>
    </r>
    <r>
      <rPr>
        <sz val="11"/>
        <color theme="1"/>
        <rFont val="Calibri"/>
        <family val="2"/>
        <scheme val="minor"/>
      </rPr>
      <t>;"!$L$145"));"bitte eintragen")
Spalte G: =WENNFEHLER(INDIREKT(VERKETTEN(E</t>
    </r>
    <r>
      <rPr>
        <sz val="11"/>
        <color rgb="FFFF0000"/>
        <rFont val="Calibri"/>
        <family val="2"/>
        <scheme val="minor"/>
      </rPr>
      <t>ZEILE</t>
    </r>
    <r>
      <rPr>
        <sz val="11"/>
        <color theme="1"/>
        <rFont val="Calibri"/>
        <family val="2"/>
        <scheme val="minor"/>
      </rPr>
      <t>;"!$L$145"));"bitte eintragen")
Die Zeile muss jeweils manuell ergänzt werden.</t>
    </r>
  </si>
  <si>
    <t>Räume</t>
  </si>
  <si>
    <t>zusätzliche Ressourcen</t>
  </si>
  <si>
    <t>Ja / Nein</t>
  </si>
  <si>
    <t>Großraumbüro</t>
  </si>
  <si>
    <t>Mobiler Arbeitsplatz</t>
  </si>
  <si>
    <t>Kleines Büro</t>
  </si>
  <si>
    <t>Nein</t>
  </si>
  <si>
    <t>Büro Geschäftsführung</t>
  </si>
  <si>
    <t>Scanner (Dokument)</t>
  </si>
  <si>
    <t>Besprechungsraum</t>
  </si>
  <si>
    <t>Verteilerraum</t>
  </si>
  <si>
    <t>Drucker (normal)</t>
  </si>
  <si>
    <t>Serverraum</t>
  </si>
  <si>
    <t>Technikraum</t>
  </si>
  <si>
    <t>Kreuzreferenztabelle</t>
  </si>
  <si>
    <t>Anwendungen</t>
  </si>
  <si>
    <t>MAX
C</t>
  </si>
  <si>
    <t>MAX
I</t>
  </si>
  <si>
    <t>MAX
AU</t>
  </si>
  <si>
    <t>MAX
A</t>
  </si>
  <si>
    <t>P1
C</t>
  </si>
  <si>
    <t>P1
I</t>
  </si>
  <si>
    <t>P1
AU</t>
  </si>
  <si>
    <t>P1
A</t>
  </si>
  <si>
    <t>≤ 3 d</t>
  </si>
  <si>
    <t>≤ 7 d</t>
  </si>
  <si>
    <t>vertraulich</t>
  </si>
  <si>
    <t>Technische Informationen</t>
  </si>
  <si>
    <t>Dübelbemessung, Materialdaten usw.</t>
  </si>
  <si>
    <t>Laptop</t>
  </si>
  <si>
    <t>Router/Switch</t>
  </si>
  <si>
    <t>P2
C</t>
  </si>
  <si>
    <t>P2
I</t>
  </si>
  <si>
    <t>P2
AU</t>
  </si>
  <si>
    <t>P2
A</t>
  </si>
  <si>
    <t>Prozesse / Aufgaben / Tätigkeiten</t>
  </si>
  <si>
    <r>
      <t xml:space="preserve">- </t>
    </r>
    <r>
      <rPr>
        <b/>
        <sz val="10"/>
        <color indexed="8"/>
        <rFont val="Arial"/>
        <family val="2"/>
      </rPr>
      <t>geringe</t>
    </r>
    <r>
      <rPr>
        <sz val="10"/>
        <color indexed="8"/>
        <rFont val="Arial"/>
        <family val="2"/>
      </rPr>
      <t xml:space="preserve"> finanzielle Auswirkungen (</t>
    </r>
    <r>
      <rPr>
        <sz val="10"/>
        <color rgb="FFFF0000"/>
        <rFont val="Arial"/>
        <family val="2"/>
      </rPr>
      <t>unter 250.000€</t>
    </r>
    <r>
      <rPr>
        <sz val="10"/>
        <color indexed="8"/>
        <rFont val="Arial"/>
        <family val="2"/>
      </rPr>
      <t>)</t>
    </r>
  </si>
  <si>
    <r>
      <t xml:space="preserve">- Einstufung der Informationen als </t>
    </r>
    <r>
      <rPr>
        <b/>
        <sz val="10"/>
        <color theme="1"/>
        <rFont val="Arial"/>
        <family val="2"/>
      </rPr>
      <t>„vertraulich“</t>
    </r>
    <r>
      <rPr>
        <sz val="10"/>
        <color theme="1"/>
        <rFont val="Arial"/>
        <family val="2"/>
      </rPr>
      <t xml:space="preserve"> 
- Möglicher Zugriff nur für bestimmten Mitarbeiterkreis (Need-to-Know-Prinzip)
- Strenge Einschränkung des Zugangs
- </t>
    </r>
    <r>
      <rPr>
        <b/>
        <sz val="10"/>
        <color theme="1"/>
        <rFont val="Arial"/>
        <family val="2"/>
      </rPr>
      <t>Sehr hoher Schaden</t>
    </r>
    <r>
      <rPr>
        <sz val="10"/>
        <color theme="1"/>
        <rFont val="Arial"/>
        <family val="2"/>
      </rPr>
      <t xml:space="preserve"> bei Veröffentlichung der Informationen</t>
    </r>
    <r>
      <rPr>
        <sz val="10"/>
        <color indexed="8"/>
        <rFont val="Arial"/>
        <family val="2"/>
      </rPr>
      <t xml:space="preserve">
</t>
    </r>
  </si>
  <si>
    <r>
      <rPr>
        <sz val="10"/>
        <color indexed="8"/>
        <rFont val="Arial"/>
        <family val="2"/>
      </rPr>
      <t xml:space="preserve">- </t>
    </r>
    <r>
      <rPr>
        <b/>
        <sz val="10"/>
        <color indexed="8"/>
        <rFont val="Arial"/>
        <family val="2"/>
      </rPr>
      <t xml:space="preserve">Hoher bis sehr hoher Schaden </t>
    </r>
    <r>
      <rPr>
        <sz val="10"/>
        <color indexed="8"/>
        <rFont val="Arial"/>
        <family val="2"/>
      </rPr>
      <t>durch eine nicht autorisierte Änderung oder eine unbekannte Änderung von Informationen</t>
    </r>
  </si>
  <si>
    <r>
      <t xml:space="preserve">- </t>
    </r>
    <r>
      <rPr>
        <b/>
        <sz val="10"/>
        <color indexed="8"/>
        <rFont val="Arial"/>
        <family val="2"/>
      </rPr>
      <t xml:space="preserve">Hohe bis sehr hohe Schäden </t>
    </r>
    <r>
      <rPr>
        <sz val="10"/>
        <color indexed="8"/>
        <rFont val="Arial"/>
        <family val="2"/>
      </rPr>
      <t>bei Unterbrechung oder manueller Durchführung der Verarbeitung von Informationen</t>
    </r>
  </si>
  <si>
    <r>
      <t xml:space="preserve">- </t>
    </r>
    <r>
      <rPr>
        <b/>
        <sz val="10"/>
        <color indexed="8"/>
        <rFont val="Arial"/>
        <family val="2"/>
      </rPr>
      <t>erhebliche bis existenzbedrohenden</t>
    </r>
    <r>
      <rPr>
        <sz val="10"/>
        <color indexed="8"/>
        <rFont val="Arial"/>
        <family val="2"/>
      </rPr>
      <t xml:space="preserve"> Folgen bei Verstößen gegen Gesetze, Vertragsbestimmungen und Vorschriften (z.B.</t>
    </r>
    <r>
      <rPr>
        <b/>
        <sz val="10"/>
        <color indexed="8"/>
        <rFont val="Arial"/>
        <family val="2"/>
      </rPr>
      <t xml:space="preserve"> </t>
    </r>
    <r>
      <rPr>
        <sz val="10"/>
        <color indexed="8"/>
        <rFont val="Arial"/>
        <family val="2"/>
      </rPr>
      <t>Einschreiten von Aufsichtsbehörden, Klagen wegen Vertragsbruch.)
Hierunter fallen auch Verschlusssachen – NUR FÜR DEN DIENSTGEBRAUCH (VS-NfD), für die der Schutzbedarf mindestens als „hoch“ eingeschätzt werden muss.
Besonderheit Datenschutz:
Verarbeitungsszenarien von Daten, die ein Leben lang als Anker für Profilbildungen dienen können, haben einen höheren als mittleren Schutzbedarf zur Folge.
Beispiele für personenbezogene Daten:
Sozialleistungen, Ordnungswidrigkeiten, Zeugnisse, Bekanntenkreis</t>
    </r>
  </si>
  <si>
    <r>
      <t xml:space="preserve">- </t>
    </r>
    <r>
      <rPr>
        <b/>
        <sz val="10"/>
        <color indexed="8"/>
        <rFont val="Arial"/>
        <family val="2"/>
      </rPr>
      <t>erhebliche bis existenzbedrohende</t>
    </r>
    <r>
      <rPr>
        <sz val="10"/>
        <color indexed="8"/>
        <rFont val="Arial"/>
        <family val="2"/>
      </rPr>
      <t xml:space="preserve"> Störung bei Erfüllung der Aufgabe
- nur </t>
    </r>
    <r>
      <rPr>
        <b/>
        <sz val="10"/>
        <color indexed="8"/>
        <rFont val="Arial"/>
        <family val="2"/>
      </rPr>
      <t>unterbrochene</t>
    </r>
    <r>
      <rPr>
        <sz val="10"/>
        <color indexed="8"/>
        <rFont val="Arial"/>
        <family val="2"/>
      </rPr>
      <t xml:space="preserve"> Durchführung wichtiger Geschäftsprozesse </t>
    </r>
  </si>
  <si>
    <r>
      <t xml:space="preserve">- </t>
    </r>
    <r>
      <rPr>
        <b/>
        <sz val="10"/>
        <color indexed="8"/>
        <rFont val="Arial"/>
        <family val="2"/>
      </rPr>
      <t>begrenzter</t>
    </r>
    <r>
      <rPr>
        <sz val="10"/>
        <color indexed="8"/>
        <rFont val="Arial"/>
        <family val="2"/>
      </rPr>
      <t xml:space="preserve"> Vetrauensverlust
-</t>
    </r>
    <r>
      <rPr>
        <b/>
        <sz val="10"/>
        <color indexed="8"/>
        <rFont val="Arial"/>
        <family val="2"/>
      </rPr>
      <t xml:space="preserve"> keine</t>
    </r>
    <r>
      <rPr>
        <sz val="10"/>
        <color indexed="8"/>
        <rFont val="Arial"/>
        <family val="2"/>
      </rPr>
      <t xml:space="preserve"> Wahrnehmung in der Öffentlichkeit
- Wahrnehmung bei Kunden und/oder Partner vereinzelt möglich</t>
    </r>
  </si>
  <si>
    <r>
      <t>-</t>
    </r>
    <r>
      <rPr>
        <b/>
        <sz val="10"/>
        <color indexed="8"/>
        <rFont val="Arial"/>
        <family val="2"/>
      </rPr>
      <t xml:space="preserve"> erheblicher bis existenzbedrohender</t>
    </r>
    <r>
      <rPr>
        <sz val="10"/>
        <color indexed="8"/>
        <rFont val="Arial"/>
        <family val="2"/>
      </rPr>
      <t xml:space="preserve"> Vetrauensverlust
- </t>
    </r>
    <r>
      <rPr>
        <b/>
        <sz val="10"/>
        <color indexed="8"/>
        <rFont val="Arial"/>
        <family val="2"/>
      </rPr>
      <t>stark negative V</t>
    </r>
    <r>
      <rPr>
        <sz val="10"/>
        <color indexed="8"/>
        <rFont val="Arial"/>
        <family val="2"/>
      </rPr>
      <t>eröffentlichungen in landesweiten Medien</t>
    </r>
  </si>
  <si>
    <r>
      <rPr>
        <sz val="10"/>
        <color theme="1"/>
        <rFont val="Calibri"/>
        <family val="2"/>
      </rPr>
      <t>≤</t>
    </r>
    <r>
      <rPr>
        <sz val="10"/>
        <color theme="1"/>
        <rFont val="Arial"/>
        <family val="2"/>
      </rPr>
      <t xml:space="preserve"> 1 d</t>
    </r>
  </si>
  <si>
    <t>≤ 14 d</t>
  </si>
  <si>
    <t>Zoom</t>
  </si>
  <si>
    <t>System Owner</t>
  </si>
  <si>
    <t>Arbeitsergebnisse</t>
  </si>
  <si>
    <t>intern</t>
  </si>
  <si>
    <t>Stand:</t>
  </si>
  <si>
    <r>
      <rPr>
        <b/>
        <sz val="16"/>
        <color rgb="FFFF0000"/>
        <rFont val="Arial"/>
        <family val="2"/>
      </rPr>
      <t xml:space="preserve">Einträge </t>
    </r>
    <r>
      <rPr>
        <b/>
        <u/>
        <sz val="16"/>
        <color rgb="FFFF0000"/>
        <rFont val="Arial"/>
        <family val="2"/>
      </rPr>
      <t>nicht</t>
    </r>
    <r>
      <rPr>
        <b/>
        <sz val="16"/>
        <color rgb="FFFF0000"/>
        <rFont val="Arial"/>
        <family val="2"/>
      </rPr>
      <t xml:space="preserve"> neu sortieren! </t>
    </r>
  </si>
  <si>
    <t>P3
C</t>
  </si>
  <si>
    <t>P3
I</t>
  </si>
  <si>
    <t>P3
AU</t>
  </si>
  <si>
    <t>P3
A</t>
  </si>
  <si>
    <t>P4
C</t>
  </si>
  <si>
    <t>P4
I</t>
  </si>
  <si>
    <t>P4
AU</t>
  </si>
  <si>
    <t>P4
A</t>
  </si>
  <si>
    <t>P5
C</t>
  </si>
  <si>
    <t>P5
I</t>
  </si>
  <si>
    <t>P5
AU</t>
  </si>
  <si>
    <t>P5
A</t>
  </si>
  <si>
    <t>P6
C</t>
  </si>
  <si>
    <t>P6
AU</t>
  </si>
  <si>
    <t>P6
I</t>
  </si>
  <si>
    <t>P6
A</t>
  </si>
  <si>
    <r>
      <t xml:space="preserve">- </t>
    </r>
    <r>
      <rPr>
        <b/>
        <sz val="10"/>
        <color indexed="8"/>
        <rFont val="Arial"/>
        <family val="2"/>
      </rPr>
      <t>tolerable</t>
    </r>
    <r>
      <rPr>
        <sz val="10"/>
        <color indexed="8"/>
        <rFont val="Arial"/>
        <family val="2"/>
      </rPr>
      <t xml:space="preserve"> finanzielle Auswirkungen (</t>
    </r>
    <r>
      <rPr>
        <sz val="10"/>
        <color rgb="FFFF0000"/>
        <rFont val="Arial"/>
        <family val="2"/>
      </rPr>
      <t xml:space="preserve">zwischen 250.001 € und 500.000€) </t>
    </r>
  </si>
  <si>
    <r>
      <t xml:space="preserve">- </t>
    </r>
    <r>
      <rPr>
        <b/>
        <sz val="10"/>
        <color indexed="8"/>
        <rFont val="Arial"/>
        <family val="2"/>
      </rPr>
      <t>erhebliche bis existenzbedrohende</t>
    </r>
    <r>
      <rPr>
        <sz val="10"/>
        <color indexed="8"/>
        <rFont val="Arial"/>
        <family val="2"/>
      </rPr>
      <t xml:space="preserve"> finanzielle Auswirkungen </t>
    </r>
    <r>
      <rPr>
        <sz val="10"/>
        <color rgb="FFFF0000"/>
        <rFont val="Arial"/>
        <family val="2"/>
      </rPr>
      <t xml:space="preserve">(über 500.000 €) </t>
    </r>
  </si>
  <si>
    <t>Authentizität (nicht betrachtet)</t>
  </si>
  <si>
    <t>Prozessbezeichnung</t>
  </si>
  <si>
    <t>Wiki Wissensdatenbank</t>
  </si>
  <si>
    <t>Analyse der Auswirkungen von Ungewissheiten auf Projekte.</t>
  </si>
  <si>
    <t>Projektbasierte Risikoanalyse</t>
  </si>
  <si>
    <t>vorgelagerter
Geschäftsprozess</t>
  </si>
  <si>
    <r>
      <rPr>
        <sz val="10"/>
        <color theme="0"/>
        <rFont val="Calibri"/>
        <family val="2"/>
      </rPr>
      <t>≤</t>
    </r>
    <r>
      <rPr>
        <sz val="10"/>
        <color theme="0"/>
        <rFont val="Arial"/>
        <family val="2"/>
      </rPr>
      <t xml:space="preserve"> 1 d</t>
    </r>
  </si>
  <si>
    <t>YM</t>
  </si>
  <si>
    <t>G00</t>
  </si>
  <si>
    <t>G01</t>
  </si>
  <si>
    <t>G02</t>
  </si>
  <si>
    <t>G03</t>
  </si>
  <si>
    <t>G04</t>
  </si>
  <si>
    <t>G05</t>
  </si>
  <si>
    <t>G06</t>
  </si>
  <si>
    <t>Gemeinsame IT-Infrastruktur</t>
  </si>
  <si>
    <t>Konzeption und Design</t>
  </si>
  <si>
    <t>Herstellung</t>
  </si>
  <si>
    <t>Test</t>
  </si>
  <si>
    <t>Transporte</t>
  </si>
  <si>
    <t>Inbetriebnahme</t>
  </si>
  <si>
    <t>Betrieb</t>
  </si>
  <si>
    <t>Außerbetriebnahme</t>
  </si>
  <si>
    <t>G07</t>
  </si>
  <si>
    <t>Schritt 5 - Erstellen der Kreuzreferenztabelle</t>
  </si>
  <si>
    <t>Anleitung Schutzbedarfsfeststellung</t>
  </si>
  <si>
    <t xml:space="preserve">Büro Fachgebiet Raumfahrttechnik </t>
  </si>
  <si>
    <t>Nano Satellitennitegrationslabor</t>
  </si>
  <si>
    <t>Rack/Transportcontainer</t>
  </si>
  <si>
    <t>Satellitenintegration Launchcenter</t>
  </si>
  <si>
    <t>Satellit</t>
  </si>
  <si>
    <t>Gebäude F Fachgebiet Raumfahrttechnik</t>
  </si>
  <si>
    <t>Transportfahrzeug</t>
  </si>
  <si>
    <t>Launch-Center</t>
  </si>
  <si>
    <t>Weltraum</t>
  </si>
  <si>
    <t>1 normal</t>
  </si>
  <si>
    <t>2 hoch</t>
  </si>
  <si>
    <t>3 sehr hoch</t>
  </si>
  <si>
    <t>G00 Gemeinsame IT-Infrastruktur</t>
  </si>
  <si>
    <t>DNS-Dienst</t>
  </si>
  <si>
    <t>File-Service</t>
  </si>
  <si>
    <t>Cloud Storage</t>
  </si>
  <si>
    <t>Virtualisierungsservice</t>
  </si>
  <si>
    <t>Containerisierungsservice</t>
  </si>
  <si>
    <t>Druckservice</t>
  </si>
  <si>
    <t>E-Mail-Service</t>
  </si>
  <si>
    <t>Office inkl. Video- und E-Mail-Client</t>
  </si>
  <si>
    <t>LibreOffice</t>
  </si>
  <si>
    <t>TUB Telefonie</t>
  </si>
  <si>
    <t xml:space="preserve">webex </t>
  </si>
  <si>
    <t>CAD Client/Standalone</t>
  </si>
  <si>
    <t>Ticket-System Server</t>
  </si>
  <si>
    <t>Ticket-System Client</t>
  </si>
  <si>
    <t>Quellcodeverwaltung, BuildChain, UnitTests Server</t>
  </si>
  <si>
    <t>IDE Client/Standalone</t>
  </si>
  <si>
    <t>Analyse-Tools</t>
  </si>
  <si>
    <t>Soft-/Hardware Test Tools</t>
  </si>
  <si>
    <t>Simulatoren</t>
  </si>
  <si>
    <t>Buildserver des Fachgebiets</t>
  </si>
  <si>
    <t>Fertigungssysteme</t>
  </si>
  <si>
    <t>EGSE</t>
  </si>
  <si>
    <t>MGSE</t>
  </si>
  <si>
    <t>Sicherung Transportcontainer</t>
  </si>
  <si>
    <t>SAT ASW Plattform</t>
  </si>
  <si>
    <t>SAT Autonomie Systeme</t>
  </si>
  <si>
    <t>RACCOON Package Manager</t>
  </si>
  <si>
    <t>RACCOON Hardware Bus Topic Interface</t>
  </si>
  <si>
    <t>RACCOON CCSDS Com Node</t>
  </si>
  <si>
    <t>RACCOON Master Node</t>
  </si>
  <si>
    <t>RACCOON House Keeper</t>
  </si>
  <si>
    <t>RACCOON Cognitive Radio</t>
  </si>
  <si>
    <t>RACCOON Payload Key Manager</t>
  </si>
  <si>
    <t>RACCOON Middleware ROS 2</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</si>
  <si>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</si>
  <si>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</si>
  <si>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</si>
  <si>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</si>
  <si>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</si>
  <si>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</si>
  <si>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</si>
  <si>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</si>
  <si>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</si>
  <si>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</si>
  <si>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</si>
  <si>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</si>
  <si>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</si>
  <si>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</si>
  <si>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</si>
  <si>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</si>
  <si>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</si>
  <si>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</si>
  <si>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</si>
  <si>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</si>
  <si>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</si>
  <si>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</si>
  <si>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</si>
  <si>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</si>
  <si>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</si>
  <si>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</si>
  <si>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</si>
  <si>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</si>
  <si>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</si>
  <si>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</si>
  <si>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</si>
  <si>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</si>
  <si>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</si>
  <si>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</si>
  <si>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</si>
  <si>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Source Code</t>
  </si>
  <si>
    <t>G01 Konzeption und Design</t>
  </si>
  <si>
    <t>G02 Herstellung</t>
  </si>
  <si>
    <t>G03 Test</t>
  </si>
  <si>
    <t>G04 Transporte</t>
  </si>
  <si>
    <t>G05 Inbetriebnahme</t>
  </si>
  <si>
    <t>G06 Betrieb</t>
  </si>
  <si>
    <t>G07 Außerbetriebnahme</t>
  </si>
  <si>
    <t>ja</t>
  </si>
  <si>
    <t>Wissensdatenbank für den internen Wissenstransfer, GitLab</t>
  </si>
  <si>
    <t>TUB Cloud</t>
  </si>
  <si>
    <t>Referenzen zu früheren Projekten zum Zweck der Angebotserstellung , MYSQL</t>
  </si>
  <si>
    <t>S36</t>
  </si>
  <si>
    <t>S37</t>
  </si>
  <si>
    <t>S38</t>
  </si>
  <si>
    <t>Switch</t>
  </si>
  <si>
    <t>Drucker</t>
  </si>
  <si>
    <t>KiCad</t>
  </si>
  <si>
    <t>nein</t>
  </si>
  <si>
    <t>Projektfeinplanung (Arbeitspakete - Git Tickets)</t>
  </si>
  <si>
    <t>Projektgrobplanung</t>
  </si>
  <si>
    <t>nicht personenbezogen</t>
  </si>
  <si>
    <t>x</t>
  </si>
  <si>
    <t>personenbezogen</t>
  </si>
  <si>
    <t>Projektdokumentation</t>
  </si>
  <si>
    <t>IT-System- und Dokumentenmanagement</t>
  </si>
  <si>
    <t>Altprojektdatenbank</t>
  </si>
  <si>
    <t>Rechnungsmanagement</t>
  </si>
  <si>
    <t>Leer</t>
  </si>
  <si>
    <t>leer</t>
  </si>
  <si>
    <t>Missionsdaten</t>
  </si>
  <si>
    <t>Informationen, die während der Mission anfallen</t>
  </si>
  <si>
    <t>Schutzbedarfsfeststellung auf Prozessebene</t>
  </si>
  <si>
    <t>S39</t>
  </si>
  <si>
    <t>USB-Stick</t>
  </si>
  <si>
    <t>S40</t>
  </si>
  <si>
    <t>Faxgerät</t>
  </si>
  <si>
    <t>Deutsches Luft- und Raumfahrtzentrum</t>
  </si>
  <si>
    <t>Deutsches Zentrum für Satelliten-Kommunikation</t>
  </si>
  <si>
    <t>bdew/Vattenfall</t>
  </si>
  <si>
    <t>Ruhr-Universität Bochum</t>
  </si>
  <si>
    <t>QuantiCor</t>
  </si>
  <si>
    <t>Berlin Nanosatellite Alliance</t>
  </si>
  <si>
    <t>Technische Universität Berlin</t>
  </si>
  <si>
    <t>Schlüsselmaterial Mission</t>
  </si>
  <si>
    <t>Schlüssel zur Bewahrung des Geheimnisprinzips der Mission</t>
  </si>
  <si>
    <t>sich ändernd</t>
  </si>
  <si>
    <t>C</t>
  </si>
  <si>
    <t>I</t>
  </si>
  <si>
    <t>A</t>
  </si>
  <si>
    <t>Vererbungstabellen</t>
  </si>
  <si>
    <t>Kommunikationsverbindung</t>
  </si>
  <si>
    <t>Kommunikationsverbindungen</t>
  </si>
  <si>
    <t>Bürosubnetz</t>
  </si>
  <si>
    <t>Telefonnetz TUB</t>
  </si>
  <si>
    <t>Netz Launchcenter</t>
  </si>
  <si>
    <t>TTC</t>
  </si>
  <si>
    <t>ISL</t>
  </si>
  <si>
    <t>RACCOON Middleware ROS 2 hoch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</si>
</sst>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Calibri"/>
      <family val="2"/>
      <scheme val="minor"/>
    </font>
    <font>
      <sz val="11"/>
      <color theme="1"/>
      <name val="Calibri"/>
      <family val="2"/>
      <scheme val="minor"/>
    </font>
    <font>
      <sz val="11"/>
      <color theme="0"/>
      <name val="Calibri"/>
      <family val="2"/>
      <scheme val="minor"/>
    </font>
    <font>
      <b/>
      <sz val="10"/>
      <color indexed="9"/>
      <name val="Arial"/>
      <family val="2"/>
    </font>
    <font>
      <sz val="10"/>
      <name val="Arial"/>
      <family val="2"/>
    </font>
    <font>
      <b/>
      <sz val="10"/>
      <name val="Arial"/>
      <family val="2"/>
    </font>
    <font>
      <sz val="9"/>
      <color theme="1"/>
      <name val="Arial"/>
      <family val="2"/>
    </font>
    <font>
      <b/>
      <i/>
      <sz val="10"/>
      <color indexed="9"/>
      <name val="Arial"/>
      <family val="2"/>
    </font>
    <font>
      <b/>
      <sz val="11"/>
      <color indexed="9"/>
      <name val="Arial"/>
      <family val="2"/>
    </font>
    <font>
      <i/>
      <sz val="10"/>
      <color indexed="9"/>
      <name val="Arial"/>
      <family val="2"/>
    </font>
    <font>
      <sz val="10"/>
      <color indexed="9"/>
      <name val="Arial"/>
      <family val="2"/>
    </font>
    <font>
      <sz val="10"/>
      <color theme="1"/>
      <name val="Calibri"/>
      <family val="2"/>
      <scheme val="minor"/>
    </font>
    <font>
      <b/>
      <sz val="9"/>
      <color theme="0"/>
      <name val="Arial"/>
      <family val="2"/>
    </font>
    <font>
      <sz val="9"/>
      <color theme="0"/>
      <name val="Arial"/>
      <family val="2"/>
    </font>
    <font>
      <sz val="9"/>
      <name val="Arial"/>
      <family val="2"/>
    </font>
    <font>
      <b/>
      <sz val="9"/>
      <name val="Arial"/>
      <family val="2"/>
    </font>
    <font>
      <b/>
      <u/>
      <sz val="9"/>
      <color theme="0"/>
      <name val="Arial"/>
      <family val="2"/>
    </font>
    <font>
      <b/>
      <sz val="10"/>
      <color theme="0"/>
      <name val="Arial"/>
      <family val="2"/>
    </font>
    <font>
      <sz val="10"/>
      <color theme="1"/>
      <name val="Arial"/>
      <family val="2"/>
    </font>
    <font>
      <b/>
      <sz val="18"/>
      <color rgb="FF002D5F"/>
      <name val="Arial"/>
      <family val="2"/>
    </font>
    <font>
      <sz val="11"/>
      <name val="Calibri"/>
      <family val="2"/>
      <scheme val="minor"/>
    </font>
    <font>
      <b/>
      <sz val="11"/>
      <name val="Calibri"/>
      <family val="2"/>
      <scheme val="minor"/>
    </font>
    <font>
      <i/>
      <sz val="11"/>
      <name val="Calibri"/>
      <family val="2"/>
      <scheme val="minor"/>
    </font>
    <font>
      <sz val="11"/>
      <color theme="1"/>
      <name val="Arial"/>
      <family val="2"/>
    </font>
    <font>
      <b/>
      <sz val="11"/>
      <color theme="1"/>
      <name val="Arial"/>
      <family val="2"/>
    </font>
    <font>
      <sz val="11"/>
      <color theme="0"/>
      <name val="Arial"/>
      <family val="2"/>
    </font>
    <font>
      <b/>
      <sz val="9"/>
      <color rgb="FFFFFFFF"/>
      <name val="Arial"/>
      <family val="2"/>
    </font>
    <font>
      <b/>
      <sz val="10"/>
      <color indexed="8"/>
      <name val="Arial"/>
      <family val="2"/>
    </font>
    <font>
      <sz val="10"/>
      <color indexed="8"/>
      <name val="Arial"/>
      <family val="2"/>
    </font>
    <font>
      <b/>
      <sz val="10"/>
      <color theme="1"/>
      <name val="Arial"/>
      <family val="2"/>
    </font>
    <font>
      <sz val="10"/>
      <color rgb="FF000000"/>
      <name val="Arial"/>
      <family val="2"/>
    </font>
    <font>
      <sz val="9"/>
      <color rgb="FF000000"/>
      <name val="Arial"/>
      <family val="2"/>
    </font>
    <font>
      <b/>
      <sz val="12"/>
      <color theme="1"/>
      <name val="Arial"/>
      <family val="2"/>
    </font>
    <font>
      <i/>
      <sz val="11"/>
      <color theme="0"/>
      <name val="Arial"/>
      <family val="2"/>
    </font>
    <font>
      <sz val="11"/>
      <color theme="0"/>
      <name val="Calibri"/>
      <family val="2"/>
      <scheme val="minor"/>
    </font>
    <font>
      <sz val="11"/>
      <color rgb="FFFF0000"/>
      <name val="Calibri"/>
      <family val="2"/>
      <scheme val="minor"/>
    </font>
    <font>
      <b/>
      <sz val="11"/>
      <color theme="1"/>
      <name val="Calibri"/>
      <family val="2"/>
      <scheme val="minor"/>
    </font>
    <font>
      <b/>
      <sz val="9"/>
      <color theme="1"/>
      <name val="Arial"/>
      <family val="2"/>
    </font>
    <font>
      <b/>
      <sz val="12"/>
      <color theme="0"/>
      <name val="Calibri"/>
      <family val="2"/>
    </font>
    <font>
      <sz val="10"/>
      <color theme="1"/>
      <name val="Calibri"/>
      <family val="2"/>
    </font>
    <font>
      <sz val="10"/>
      <color theme="0"/>
      <name val="Calibri"/>
      <family val="2"/>
    </font>
    <font>
      <sz val="10"/>
      <color theme="0"/>
      <name val="Arial"/>
      <family val="2"/>
    </font>
    <font>
      <sz val="8"/>
      <name val="Calibri"/>
      <family val="2"/>
      <scheme val="minor"/>
    </font>
    <font>
      <sz val="10"/>
      <color rgb="FFFF0000"/>
      <name val="Arial"/>
      <family val="2"/>
    </font>
    <font>
      <strike/>
      <sz val="10"/>
      <color theme="1"/>
      <name val="Arial"/>
      <family val="2"/>
    </font>
    <font>
      <b/>
      <sz val="16"/>
      <color rgb="FFFF0000"/>
      <name val="Arial"/>
      <family val="2"/>
    </font>
    <font>
      <b/>
      <u/>
      <sz val="16"/>
      <color rgb="FFFF0000"/>
      <name val="Arial"/>
      <family val="2"/>
    </font>
    <font>
      <sz val="18"/>
      <color rgb="FFFF0000"/>
      <name val="Calibri"/>
      <family val="2"/>
      <scheme val="minor"/>
    </font>
    <font>
      <sz val="36"/>
      <color rgb="FFFF0000"/>
      <name val="Calibri"/>
      <family val="2"/>
      <scheme val="minor"/>
    </font>
    <font>
      <b/>
      <sz val="11"/>
      <color rgb="FFFF0000"/>
      <name val="Calibri"/>
      <family val="2"/>
      <scheme val="minor"/>
    </font>
    <font>
      <b/>
      <sz val="11"/>
      <color theme="0"/>
      <name val="Calibri"/>
      <family val="2"/>
      <scheme val="minor"/>
    </font>
    <font>
      <i/>
      <sz val="18"/>
      <color rgb="FF002D5F"/>
      <name val="Arial"/>
      <family val="2"/>
    </font>
    <font>
      <sz val="11"/>
      <color theme="0"/>
      <name val="Calibri"/>
      <scheme val="minor"/>
    </font>
  </fonts>
  <fills count="22">
    <fill>
      <patternFill patternType="none"/>
    </fill>
    <fill>
      <patternFill patternType="gray125"/>
    </fill>
    <fill>
      <patternFill patternType="solid">
        <fgColor theme="0"/>
        <bgColor indexed="64"/>
      </patternFill>
    </fill>
    <fill>
      <patternFill patternType="solid">
        <fgColor indexed="61"/>
        <bgColor indexed="64"/>
      </patternFill>
    </fill>
    <fill>
      <patternFill patternType="solid">
        <fgColor indexed="22"/>
        <bgColor indexed="64"/>
      </patternFill>
    </fill>
    <fill>
      <patternFill patternType="solid">
        <fgColor rgb="FFF2F2F2"/>
        <bgColor indexed="64"/>
      </patternFill>
    </fill>
    <fill>
      <patternFill patternType="solid">
        <fgColor indexed="26"/>
        <bgColor indexed="64"/>
      </patternFill>
    </fill>
    <fill>
      <patternFill patternType="solid">
        <fgColor indexed="23"/>
        <bgColor indexed="64"/>
      </patternFill>
    </fill>
    <fill>
      <patternFill patternType="solid">
        <fgColor indexed="20"/>
        <bgColor indexed="64"/>
      </patternFill>
    </fill>
    <fill>
      <patternFill patternType="solid">
        <fgColor indexed="54"/>
        <bgColor indexed="64"/>
      </patternFill>
    </fill>
    <fill>
      <patternFill patternType="solid">
        <fgColor indexed="30"/>
        <bgColor indexed="64"/>
      </patternFill>
    </fill>
    <fill>
      <patternFill patternType="solid">
        <fgColor indexed="9"/>
        <bgColor indexed="64"/>
      </patternFill>
    </fill>
    <fill>
      <patternFill patternType="solid">
        <fgColor indexed="46"/>
        <bgColor indexed="64"/>
      </patternFill>
    </fill>
    <fill>
      <patternFill patternType="solid">
        <fgColor rgb="FF002D5F"/>
        <bgColor indexed="64"/>
      </patternFill>
    </fill>
    <fill>
      <patternFill patternType="solid">
        <fgColor rgb="FF007846"/>
        <bgColor indexed="64"/>
      </patternFill>
    </fill>
    <fill>
      <patternFill patternType="solid">
        <fgColor rgb="FFFAB900"/>
        <bgColor indexed="64"/>
      </patternFill>
    </fill>
    <fill>
      <patternFill patternType="solid">
        <fgColor rgb="FFFFCC66"/>
        <bgColor indexed="64"/>
      </patternFill>
    </fill>
    <fill>
      <patternFill patternType="solid">
        <fgColor rgb="FF002D5F"/>
        <bgColor rgb="FF000000"/>
      </patternFill>
    </fill>
    <fill>
      <patternFill patternType="solid">
        <fgColor rgb="FFF2F2F2"/>
        <bgColor rgb="FF000000"/>
      </patternFill>
    </fill>
    <fill>
      <patternFill patternType="solid">
        <fgColor rgb="FF969696"/>
        <bgColor indexed="64"/>
      </patternFill>
    </fill>
    <fill>
      <patternFill patternType="solid">
        <fgColor theme="0" tint="-0.499984740745262"/>
        <bgColor indexed="64"/>
      </patternFill>
    </fill>
    <fill>
      <patternFill patternType="solid">
        <fgColor theme="0" tint="-0.14999847407452621"/>
        <bgColor theme="0" tint="-0.14999847407452621"/>
      </patternFill>
    </fill>
  </fills>
  <borders count="19">
    <border>
      <left/>
      <right/>
      <top/>
      <bottom/>
      <diagonal/>
    </border>
    <border>
      <left/>
      <right/>
      <top/>
      <bottom style="thick">
        <color indexed="64"/>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style="thin">
        <color indexed="55"/>
      </top>
      <bottom style="thin">
        <color indexed="55"/>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style="thin">
        <color theme="1"/>
      </left>
      <right style="thin">
        <color theme="1"/>
      </right>
      <top style="medium">
        <color theme="1"/>
      </top>
      <bottom style="medium">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thin">
        <color theme="1"/>
      </right>
      <top style="thin">
        <color theme="1"/>
      </top>
      <bottom/>
      <diagonal/>
    </border>
  </borders>
  <cellStyleXfs count="32">
    <xf numFmtId="0" fontId="0" fillId="0" borderId="0"/>
    <xf numFmtId="0" fontId="3" fillId="3" borderId="0">
      <alignment horizontal="left" vertical="center"/>
    </xf>
    <xf numFmtId="0" fontId="4" fillId="4" borderId="0">
      <alignment vertical="center"/>
    </xf>
    <xf numFmtId="0" fontId="4" fillId="6" borderId="0" applyFont="0" applyAlignment="0"/>
    <xf numFmtId="0" fontId="4" fillId="7" borderId="0"/>
    <xf numFmtId="0" fontId="4" fillId="7" borderId="0"/>
    <xf numFmtId="0" fontId="4" fillId="7" borderId="0"/>
    <xf numFmtId="0" fontId="5" fillId="8" borderId="1"/>
    <xf numFmtId="0" fontId="7" fillId="3" borderId="0" applyFill="0"/>
    <xf numFmtId="0" fontId="5" fillId="9" borderId="0">
      <alignment horizontal="center" vertical="center"/>
      <protection locked="0"/>
    </xf>
    <xf numFmtId="0" fontId="8" fillId="10" borderId="0">
      <alignment horizontal="center" vertical="center" wrapText="1"/>
    </xf>
    <xf numFmtId="0" fontId="3" fillId="10" borderId="0">
      <alignment horizontal="center" vertical="top" wrapText="1"/>
    </xf>
    <xf numFmtId="0" fontId="5" fillId="8" borderId="2" applyNumberFormat="0">
      <alignment horizontal="left" vertical="center" wrapText="1"/>
      <protection locked="0"/>
    </xf>
    <xf numFmtId="0" fontId="4" fillId="11" borderId="3" applyFont="0" applyAlignment="0"/>
    <xf numFmtId="0" fontId="4" fillId="11" borderId="3" applyFont="0" applyAlignment="0"/>
    <xf numFmtId="0" fontId="9" fillId="3" borderId="0">
      <alignment horizontal="center" vertical="center"/>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6" borderId="0" applyFont="0" applyAlignment="0"/>
    <xf numFmtId="0" fontId="10" fillId="12" borderId="2">
      <alignment horizontal="center" vertical="center"/>
    </xf>
    <xf numFmtId="0" fontId="5" fillId="8" borderId="2">
      <alignment horizontal="center" vertical="center" wrapText="1"/>
    </xf>
    <xf numFmtId="0" fontId="4" fillId="11" borderId="4">
      <alignment horizontal="left" vertical="center" wrapText="1"/>
      <protection locked="0"/>
    </xf>
    <xf numFmtId="0" fontId="4" fillId="11" borderId="4">
      <alignment horizontal="left" vertical="center" wrapText="1"/>
      <protection locked="0"/>
    </xf>
    <xf numFmtId="0" fontId="4" fillId="11" borderId="4">
      <alignment horizontal="left" vertical="center" wrapText="1"/>
      <protection locked="0"/>
    </xf>
    <xf numFmtId="0" fontId="4" fillId="4" borderId="0" applyBorder="0" applyAlignment="0"/>
    <xf numFmtId="0" fontId="11" fillId="0" borderId="0"/>
  </cellStyleXfs>
  <cellXfs count="190">
    <xf numFmtId="0" fontId="0" fillId="0" borderId="0" xfId="0"/>
    <xf numFmtId="0" fontId="0" fillId="2" borderId="0" xfId="0" applyFill="1"/>
    <xf numFmtId="0" fontId="4" fillId="0" borderId="0" xfId="3" applyFont="1" applyFill="1"/>
    <xf numFmtId="0" fontId="14" fillId="2" borderId="0" xfId="2" applyFont="1" applyFill="1">
      <alignment vertical="center"/>
    </xf>
    <xf numFmtId="0" fontId="14" fillId="0" borderId="0" xfId="2" applyFont="1" applyFill="1">
      <alignment vertical="center"/>
    </xf>
    <xf numFmtId="0" fontId="14" fillId="2" borderId="0" xfId="0" applyFont="1" applyFill="1"/>
    <xf numFmtId="0" fontId="14" fillId="2" borderId="0" xfId="0" applyFont="1" applyFill="1" applyAlignment="1">
      <alignment vertical="top"/>
    </xf>
    <xf numFmtId="0" fontId="14" fillId="2" borderId="0" xfId="0" applyFont="1" applyFill="1" applyAlignment="1">
      <alignment horizontal="left"/>
    </xf>
    <xf numFmtId="0" fontId="15" fillId="2" borderId="0" xfId="0" applyFont="1" applyFill="1"/>
    <xf numFmtId="0" fontId="15" fillId="2" borderId="0" xfId="0" applyFont="1" applyFill="1" applyAlignment="1">
      <alignment vertical="top" wrapText="1"/>
    </xf>
    <xf numFmtId="0" fontId="16" fillId="2" borderId="0" xfId="0" applyFont="1" applyFill="1" applyAlignment="1">
      <alignment horizontal="left" vertical="top"/>
    </xf>
    <xf numFmtId="0" fontId="13" fillId="2" borderId="0" xfId="0" applyFont="1" applyFill="1"/>
    <xf numFmtId="0" fontId="6" fillId="2" borderId="0" xfId="0" applyFont="1" applyFill="1" applyAlignment="1">
      <alignment wrapText="1"/>
    </xf>
    <xf numFmtId="0" fontId="6" fillId="0" borderId="0" xfId="0" applyFont="1" applyAlignment="1">
      <alignment wrapText="1"/>
    </xf>
    <xf numFmtId="0" fontId="6" fillId="2" borderId="0" xfId="0" applyFont="1" applyFill="1" applyAlignment="1">
      <alignment horizontal="center" wrapText="1"/>
    </xf>
    <xf numFmtId="0" fontId="6" fillId="0" borderId="2" xfId="0" applyFont="1" applyBorder="1" applyAlignment="1">
      <alignment wrapText="1"/>
    </xf>
    <xf numFmtId="0" fontId="13" fillId="2" borderId="0" xfId="0" applyFont="1" applyFill="1" applyAlignment="1">
      <alignment wrapText="1"/>
    </xf>
    <xf numFmtId="0" fontId="4" fillId="0" borderId="0" xfId="3" applyFont="1" applyFill="1" applyAlignment="1">
      <alignment horizontal="left"/>
    </xf>
    <xf numFmtId="0" fontId="4" fillId="0" borderId="0" xfId="3" applyFont="1" applyFill="1" applyAlignment="1">
      <alignment vertical="top" wrapText="1"/>
    </xf>
    <xf numFmtId="0" fontId="4" fillId="0" borderId="0" xfId="3" applyFont="1" applyFill="1" applyAlignment="1">
      <alignment wrapText="1"/>
    </xf>
    <xf numFmtId="1" fontId="18" fillId="0" borderId="0" xfId="0" applyNumberFormat="1" applyFont="1"/>
    <xf numFmtId="0" fontId="18" fillId="0" borderId="0" xfId="0" applyFont="1"/>
    <xf numFmtId="0" fontId="6" fillId="0" borderId="2" xfId="0" applyFont="1" applyBorder="1" applyAlignment="1">
      <alignment horizontal="left" vertical="center" wrapText="1"/>
    </xf>
    <xf numFmtId="0" fontId="4" fillId="0" borderId="0" xfId="3" applyFont="1" applyFill="1" applyAlignment="1">
      <alignment horizontal="center"/>
    </xf>
    <xf numFmtId="0" fontId="0" fillId="0" borderId="2" xfId="0" applyBorder="1" applyAlignment="1" applyProtection="1">
      <alignment vertical="top" wrapText="1"/>
      <protection locked="0"/>
    </xf>
    <xf numFmtId="0" fontId="14" fillId="2" borderId="2" xfId="0" applyFont="1" applyFill="1" applyBorder="1"/>
    <xf numFmtId="0" fontId="14" fillId="2" borderId="2" xfId="0" applyFont="1" applyFill="1" applyBorder="1" applyAlignment="1">
      <alignment horizontal="center"/>
    </xf>
    <xf numFmtId="0" fontId="6" fillId="0" borderId="7" xfId="0" applyFont="1" applyBorder="1" applyAlignment="1">
      <alignment horizontal="center" wrapText="1"/>
    </xf>
    <xf numFmtId="0" fontId="6" fillId="0" borderId="2" xfId="0" applyFont="1" applyBorder="1" applyAlignment="1">
      <alignment horizontal="center" wrapText="1"/>
    </xf>
    <xf numFmtId="0" fontId="4" fillId="2" borderId="0" xfId="3" applyFill="1"/>
    <xf numFmtId="0" fontId="0" fillId="13" borderId="0" xfId="0" applyFill="1" applyAlignment="1">
      <alignment horizontal="center" wrapText="1"/>
    </xf>
    <xf numFmtId="0" fontId="0" fillId="14" borderId="0" xfId="0" applyFill="1" applyAlignment="1">
      <alignment horizontal="center" wrapText="1"/>
    </xf>
    <xf numFmtId="0" fontId="12" fillId="13" borderId="2" xfId="0" applyFont="1" applyFill="1" applyBorder="1" applyAlignment="1">
      <alignment horizontal="right" wrapText="1"/>
    </xf>
    <xf numFmtId="0" fontId="4" fillId="0" borderId="0" xfId="3" applyFill="1"/>
    <xf numFmtId="0" fontId="2" fillId="13" borderId="2" xfId="0" applyFont="1" applyFill="1" applyBorder="1" applyAlignment="1">
      <alignment horizontal="center" vertical="center" textRotation="45" wrapText="1"/>
    </xf>
    <xf numFmtId="0" fontId="6" fillId="2" borderId="2" xfId="0" applyFont="1" applyFill="1" applyBorder="1" applyAlignment="1">
      <alignment horizontal="center" wrapText="1"/>
    </xf>
    <xf numFmtId="0" fontId="20" fillId="2" borderId="0" xfId="0" applyFont="1" applyFill="1" applyAlignment="1">
      <alignment horizontal="left"/>
    </xf>
    <xf numFmtId="0" fontId="20" fillId="16" borderId="0" xfId="0" applyFont="1" applyFill="1" applyAlignment="1">
      <alignment horizontal="left"/>
    </xf>
    <xf numFmtId="0" fontId="21" fillId="16" borderId="0" xfId="0" applyFont="1" applyFill="1" applyAlignment="1">
      <alignment horizontal="left"/>
    </xf>
    <xf numFmtId="0" fontId="20" fillId="16" borderId="0" xfId="0" applyFont="1" applyFill="1" applyAlignment="1">
      <alignment horizontal="left" vertical="top" wrapText="1"/>
    </xf>
    <xf numFmtId="0" fontId="0" fillId="16" borderId="0" xfId="0" applyFill="1"/>
    <xf numFmtId="0" fontId="20" fillId="2" borderId="0" xfId="0" applyFont="1" applyFill="1" applyAlignment="1">
      <alignment horizontal="left" vertical="top" wrapText="1"/>
    </xf>
    <xf numFmtId="0" fontId="20" fillId="16" borderId="0" xfId="0" applyFont="1" applyFill="1" applyAlignment="1">
      <alignment vertical="top" wrapText="1"/>
    </xf>
    <xf numFmtId="0" fontId="23" fillId="2" borderId="0" xfId="0" applyFont="1" applyFill="1"/>
    <xf numFmtId="0" fontId="23" fillId="0" borderId="0" xfId="0" applyFont="1"/>
    <xf numFmtId="0" fontId="25" fillId="0" borderId="0" xfId="0" applyFont="1"/>
    <xf numFmtId="0" fontId="18" fillId="0" borderId="2" xfId="0" applyFont="1" applyBorder="1" applyAlignment="1">
      <alignment horizontal="center" vertical="center" wrapText="1"/>
    </xf>
    <xf numFmtId="0" fontId="18" fillId="0" borderId="2" xfId="0" quotePrefix="1" applyFont="1" applyBorder="1" applyAlignment="1">
      <alignment vertical="top" wrapText="1"/>
    </xf>
    <xf numFmtId="0" fontId="18" fillId="0" borderId="5" xfId="0" applyFont="1" applyBorder="1" applyAlignment="1">
      <alignment vertical="center" wrapText="1"/>
    </xf>
    <xf numFmtId="0" fontId="18" fillId="0" borderId="13" xfId="0" applyFont="1" applyBorder="1" applyAlignment="1">
      <alignment vertical="center" wrapText="1"/>
    </xf>
    <xf numFmtId="0" fontId="30" fillId="0" borderId="2" xfId="0" quotePrefix="1" applyFont="1" applyBorder="1" applyAlignment="1">
      <alignment vertical="top" wrapText="1"/>
    </xf>
    <xf numFmtId="0" fontId="18" fillId="0" borderId="2" xfId="0" applyFont="1" applyBorder="1" applyAlignment="1">
      <alignment vertical="center" wrapText="1"/>
    </xf>
    <xf numFmtId="0" fontId="18" fillId="0" borderId="9" xfId="0" applyFont="1" applyBorder="1" applyAlignment="1">
      <alignment vertical="center" wrapText="1"/>
    </xf>
    <xf numFmtId="0" fontId="24" fillId="2" borderId="0" xfId="0" applyFont="1" applyFill="1" applyAlignment="1">
      <alignment vertical="center"/>
    </xf>
    <xf numFmtId="0" fontId="23" fillId="0" borderId="2" xfId="0" applyFont="1" applyBorder="1" applyAlignment="1">
      <alignment horizontal="center" vertical="center"/>
    </xf>
    <xf numFmtId="0" fontId="11" fillId="2" borderId="0" xfId="0" applyFont="1" applyFill="1" applyAlignment="1">
      <alignment vertical="center" wrapText="1"/>
    </xf>
    <xf numFmtId="0" fontId="12" fillId="13" borderId="11" xfId="0" applyFont="1" applyFill="1" applyBorder="1" applyAlignment="1">
      <alignment horizontal="center" vertical="center" wrapText="1"/>
    </xf>
    <xf numFmtId="0" fontId="31" fillId="18" borderId="2" xfId="0" applyFont="1" applyFill="1" applyBorder="1" applyAlignment="1">
      <alignment horizontal="left" vertical="center" wrapText="1"/>
    </xf>
    <xf numFmtId="0" fontId="6" fillId="0" borderId="2" xfId="0" applyFont="1" applyBorder="1" applyAlignment="1">
      <alignment horizontal="center" vertical="center" wrapText="1"/>
    </xf>
    <xf numFmtId="0" fontId="31" fillId="18" borderId="2" xfId="0" applyFont="1" applyFill="1" applyBorder="1" applyAlignment="1">
      <alignment wrapText="1"/>
    </xf>
    <xf numFmtId="0" fontId="32" fillId="2" borderId="0" xfId="0" applyFont="1" applyFill="1" applyAlignment="1">
      <alignment horizontal="center" vertical="center" wrapText="1"/>
    </xf>
    <xf numFmtId="0" fontId="12" fillId="0" borderId="0" xfId="0" applyFont="1" applyAlignment="1">
      <alignment wrapText="1"/>
    </xf>
    <xf numFmtId="0" fontId="13" fillId="0" borderId="0" xfId="0" applyFont="1" applyAlignment="1">
      <alignment horizontal="center" vertical="center" wrapText="1"/>
    </xf>
    <xf numFmtId="0" fontId="12" fillId="0" borderId="0" xfId="0" applyFont="1" applyAlignment="1">
      <alignment horizontal="center" wrapText="1"/>
    </xf>
    <xf numFmtId="0" fontId="13" fillId="0" borderId="0" xfId="0" applyFont="1" applyAlignment="1">
      <alignment horizontal="center" wrapText="1"/>
    </xf>
    <xf numFmtId="0" fontId="33" fillId="0" borderId="0" xfId="0" applyFont="1" applyAlignment="1">
      <alignment vertical="center"/>
    </xf>
    <xf numFmtId="0" fontId="33" fillId="0" borderId="0" xfId="0" applyFont="1" applyAlignment="1">
      <alignment horizontal="left" vertical="center"/>
    </xf>
    <xf numFmtId="0" fontId="19" fillId="2" borderId="0" xfId="0" applyFont="1" applyFill="1" applyAlignment="1">
      <alignment vertical="center" wrapText="1"/>
    </xf>
    <xf numFmtId="0" fontId="19" fillId="2" borderId="0" xfId="0" applyFont="1" applyFill="1" applyAlignment="1">
      <alignment wrapText="1"/>
    </xf>
    <xf numFmtId="0" fontId="17" fillId="13" borderId="0" xfId="3" applyFont="1" applyFill="1" applyAlignment="1">
      <alignment vertical="center" wrapText="1"/>
    </xf>
    <xf numFmtId="0" fontId="17" fillId="13" borderId="0" xfId="3" applyFont="1" applyFill="1" applyAlignment="1">
      <alignment horizontal="center" vertical="center"/>
    </xf>
    <xf numFmtId="0" fontId="17" fillId="13" borderId="0" xfId="3" applyFont="1" applyFill="1" applyAlignment="1">
      <alignment horizontal="center" vertical="center" wrapText="1"/>
    </xf>
    <xf numFmtId="0" fontId="6" fillId="5" borderId="2" xfId="0" applyFont="1" applyFill="1" applyBorder="1" applyAlignment="1">
      <alignment horizontal="left" vertical="center" wrapText="1"/>
    </xf>
    <xf numFmtId="0" fontId="13" fillId="2" borderId="0" xfId="0" applyFont="1" applyFill="1" applyAlignment="1">
      <alignment horizontal="left" vertical="center" wrapText="1"/>
    </xf>
    <xf numFmtId="0" fontId="12" fillId="13" borderId="2" xfId="0" applyFont="1" applyFill="1" applyBorder="1" applyAlignment="1">
      <alignment horizontal="center" vertical="center" wrapText="1"/>
    </xf>
    <xf numFmtId="0" fontId="19" fillId="2" borderId="0" xfId="0" applyFont="1" applyFill="1" applyAlignment="1">
      <alignment horizontal="left" wrapText="1"/>
    </xf>
    <xf numFmtId="0" fontId="26" fillId="17" borderId="5" xfId="0" applyFont="1" applyFill="1" applyBorder="1" applyAlignment="1">
      <alignment horizontal="center" vertical="center" wrapText="1"/>
    </xf>
    <xf numFmtId="0" fontId="6" fillId="2" borderId="2" xfId="0" applyFont="1" applyFill="1" applyBorder="1" applyAlignment="1">
      <alignment wrapText="1"/>
    </xf>
    <xf numFmtId="0" fontId="38" fillId="13" borderId="2" xfId="0" applyFont="1" applyFill="1" applyBorder="1" applyAlignment="1">
      <alignment horizontal="center" vertical="center" wrapText="1"/>
    </xf>
    <xf numFmtId="0" fontId="0" fillId="2" borderId="2" xfId="0" applyFill="1" applyBorder="1"/>
    <xf numFmtId="0" fontId="0" fillId="2" borderId="2" xfId="0" applyFill="1" applyBorder="1" applyAlignment="1">
      <alignment horizontal="center"/>
    </xf>
    <xf numFmtId="0" fontId="18" fillId="0" borderId="2" xfId="0" quotePrefix="1" applyFont="1" applyBorder="1" applyAlignment="1">
      <alignment horizontal="left" vertical="top" wrapText="1"/>
    </xf>
    <xf numFmtId="0" fontId="12" fillId="13" borderId="7" xfId="0" applyFont="1" applyFill="1" applyBorder="1" applyAlignment="1">
      <alignment horizontal="center" vertical="center" wrapText="1"/>
    </xf>
    <xf numFmtId="0" fontId="6" fillId="0" borderId="2" xfId="0" applyFont="1" applyBorder="1" applyAlignment="1">
      <alignment horizontal="left" wrapText="1"/>
    </xf>
    <xf numFmtId="0" fontId="6" fillId="2" borderId="2" xfId="0" applyFont="1" applyFill="1" applyBorder="1" applyAlignment="1">
      <alignment horizontal="left" wrapText="1"/>
    </xf>
    <xf numFmtId="0" fontId="6" fillId="2" borderId="9" xfId="0" applyFont="1" applyFill="1" applyBorder="1" applyAlignment="1">
      <alignment horizontal="left" wrapText="1"/>
    </xf>
    <xf numFmtId="0" fontId="4" fillId="0" borderId="2" xfId="3" applyFont="1" applyFill="1" applyBorder="1" applyAlignment="1">
      <alignment horizontal="left" vertical="center" wrapText="1"/>
    </xf>
    <xf numFmtId="0" fontId="4" fillId="0" borderId="2" xfId="3" applyFont="1" applyFill="1" applyBorder="1" applyAlignment="1">
      <alignment horizontal="left" vertical="center"/>
    </xf>
    <xf numFmtId="0" fontId="18" fillId="0" borderId="2" xfId="0" applyFont="1" applyBorder="1" applyAlignment="1">
      <alignment horizontal="left" vertical="center"/>
    </xf>
    <xf numFmtId="0" fontId="0" fillId="0" borderId="2" xfId="0" applyBorder="1" applyAlignment="1" applyProtection="1">
      <alignment horizontal="left" vertical="center" wrapText="1"/>
      <protection locked="0"/>
    </xf>
    <xf numFmtId="0" fontId="0" fillId="0" borderId="0" xfId="0" applyAlignment="1" applyProtection="1">
      <alignment vertical="top" wrapText="1"/>
      <protection locked="0"/>
    </xf>
    <xf numFmtId="0" fontId="0" fillId="13" borderId="0" xfId="0" applyFill="1" applyAlignment="1">
      <alignment wrapText="1"/>
    </xf>
    <xf numFmtId="0" fontId="34" fillId="13" borderId="0" xfId="0" applyFont="1" applyFill="1" applyAlignment="1">
      <alignment wrapText="1"/>
    </xf>
    <xf numFmtId="0" fontId="0" fillId="0" borderId="0" xfId="0" applyAlignment="1">
      <alignment wrapText="1"/>
    </xf>
    <xf numFmtId="0" fontId="44" fillId="0" borderId="2" xfId="0" applyFont="1" applyBorder="1" applyAlignment="1">
      <alignment horizontal="center" vertical="center" wrapText="1"/>
    </xf>
    <xf numFmtId="0" fontId="44" fillId="0" borderId="2" xfId="0" quotePrefix="1" applyFont="1" applyBorder="1" applyAlignment="1">
      <alignment vertical="top" wrapText="1"/>
    </xf>
    <xf numFmtId="49" fontId="0" fillId="0" borderId="0" xfId="0" applyNumberFormat="1"/>
    <xf numFmtId="49" fontId="17" fillId="13" borderId="0" xfId="3" applyNumberFormat="1" applyFont="1" applyFill="1" applyAlignment="1">
      <alignment vertical="center" wrapText="1"/>
    </xf>
    <xf numFmtId="49" fontId="0" fillId="0" borderId="2" xfId="0" applyNumberFormat="1" applyBorder="1" applyAlignment="1" applyProtection="1">
      <alignment horizontal="right" vertical="top" wrapText="1"/>
      <protection locked="0"/>
    </xf>
    <xf numFmtId="49" fontId="0" fillId="0" borderId="5" xfId="0" applyNumberFormat="1" applyBorder="1" applyAlignment="1" applyProtection="1">
      <alignment horizontal="right" vertical="top" wrapText="1"/>
      <protection locked="0"/>
    </xf>
    <xf numFmtId="0" fontId="0" fillId="0" borderId="5" xfId="0" applyBorder="1" applyAlignment="1" applyProtection="1">
      <alignment vertical="top" wrapText="1"/>
      <protection locked="0"/>
    </xf>
    <xf numFmtId="0" fontId="13" fillId="2" borderId="0" xfId="0" applyFont="1" applyFill="1" applyAlignment="1">
      <alignment vertical="center" wrapText="1"/>
    </xf>
    <xf numFmtId="0" fontId="45" fillId="2" borderId="0" xfId="0" applyFont="1" applyFill="1" applyAlignment="1">
      <alignment wrapText="1"/>
    </xf>
    <xf numFmtId="0" fontId="12" fillId="19" borderId="2" xfId="0" applyFont="1" applyFill="1" applyBorder="1" applyAlignment="1">
      <alignment horizontal="center" vertical="center" wrapText="1"/>
    </xf>
    <xf numFmtId="0" fontId="6" fillId="19" borderId="2" xfId="0" applyFont="1" applyFill="1" applyBorder="1" applyAlignment="1">
      <alignment horizontal="center" wrapText="1"/>
    </xf>
    <xf numFmtId="0" fontId="12" fillId="13" borderId="11" xfId="0" applyFont="1" applyFill="1" applyBorder="1" applyAlignment="1">
      <alignment horizontal="right" wrapText="1"/>
    </xf>
    <xf numFmtId="0" fontId="12" fillId="0" borderId="0" xfId="0" applyFont="1" applyAlignment="1">
      <alignment horizontal="right" wrapText="1"/>
    </xf>
    <xf numFmtId="49" fontId="0" fillId="0" borderId="11" xfId="0" applyNumberFormat="1" applyBorder="1" applyAlignment="1" applyProtection="1">
      <alignment horizontal="right" vertical="top" wrapText="1"/>
      <protection locked="0"/>
    </xf>
    <xf numFmtId="0" fontId="47" fillId="0" borderId="0" xfId="0" applyFont="1"/>
    <xf numFmtId="0" fontId="6" fillId="2" borderId="0" xfId="0" applyFont="1" applyFill="1" applyAlignment="1">
      <alignment horizontal="left" wrapText="1"/>
    </xf>
    <xf numFmtId="0" fontId="41" fillId="13" borderId="11" xfId="0" applyFont="1" applyFill="1" applyBorder="1" applyAlignment="1">
      <alignment horizontal="center" vertical="center" wrapText="1"/>
    </xf>
    <xf numFmtId="0" fontId="49" fillId="16" borderId="0" xfId="0" applyFont="1" applyFill="1" applyAlignment="1">
      <alignment horizontal="left"/>
    </xf>
    <xf numFmtId="0" fontId="35" fillId="16" borderId="0" xfId="0" applyFont="1" applyFill="1" applyAlignment="1">
      <alignment horizontal="left"/>
    </xf>
    <xf numFmtId="0" fontId="35" fillId="16" borderId="0" xfId="0" applyFont="1" applyFill="1" applyAlignment="1">
      <alignment horizontal="left" vertical="top" wrapText="1"/>
    </xf>
    <xf numFmtId="0" fontId="6" fillId="0" borderId="2" xfId="0" applyFont="1" applyBorder="1" applyAlignment="1" applyProtection="1">
      <alignment vertical="top" wrapText="1"/>
      <protection locked="0"/>
    </xf>
    <xf numFmtId="0" fontId="12" fillId="20" borderId="2" xfId="0" applyFont="1" applyFill="1" applyBorder="1" applyAlignment="1">
      <alignment horizontal="center" wrapText="1"/>
    </xf>
    <xf numFmtId="0" fontId="12" fillId="0" borderId="2" xfId="0" applyFont="1" applyBorder="1" applyAlignment="1">
      <alignment horizontal="center" wrapText="1"/>
    </xf>
    <xf numFmtId="0" fontId="0" fillId="21" borderId="16" xfId="0" applyFont="1" applyFill="1" applyBorder="1"/>
    <xf numFmtId="0" fontId="0" fillId="0" borderId="17" xfId="0" applyFont="1" applyBorder="1"/>
    <xf numFmtId="0" fontId="50" fillId="13" borderId="15" xfId="0" applyFont="1" applyFill="1" applyBorder="1" applyAlignment="1">
      <alignment wrapText="1"/>
    </xf>
    <xf numFmtId="0" fontId="50" fillId="14" borderId="15" xfId="0" applyFont="1" applyFill="1" applyBorder="1" applyAlignment="1">
      <alignment horizontal="center" wrapText="1"/>
    </xf>
    <xf numFmtId="0" fontId="0" fillId="21" borderId="18" xfId="0" applyFont="1" applyFill="1" applyBorder="1"/>
    <xf numFmtId="0" fontId="2" fillId="13" borderId="16" xfId="0" applyFont="1" applyFill="1" applyBorder="1" applyAlignment="1">
      <alignment horizontal="left" wrapText="1"/>
    </xf>
    <xf numFmtId="0" fontId="2" fillId="13" borderId="18" xfId="0" applyFont="1" applyFill="1" applyBorder="1" applyAlignment="1">
      <alignment horizontal="left" wrapText="1"/>
    </xf>
    <xf numFmtId="0" fontId="2" fillId="13" borderId="17" xfId="0" applyFont="1" applyFill="1" applyBorder="1" applyAlignment="1">
      <alignment horizontal="left" wrapText="1"/>
    </xf>
    <xf numFmtId="0" fontId="0" fillId="0" borderId="18" xfId="0" applyFont="1" applyFill="1" applyBorder="1"/>
    <xf numFmtId="0" fontId="19" fillId="2" borderId="0" xfId="0" applyFont="1" applyFill="1" applyAlignment="1">
      <alignment horizontal="left" vertical="center" wrapText="1"/>
    </xf>
    <xf numFmtId="0" fontId="6" fillId="2" borderId="7" xfId="0" applyFont="1" applyFill="1" applyBorder="1" applyAlignment="1">
      <alignment horizontal="left"/>
    </xf>
    <xf numFmtId="0" fontId="6" fillId="2" borderId="8" xfId="0" applyFont="1" applyFill="1" applyBorder="1" applyAlignment="1">
      <alignment horizontal="left"/>
    </xf>
    <xf numFmtId="0" fontId="6" fillId="2" borderId="9" xfId="0" applyFont="1" applyFill="1" applyBorder="1" applyAlignment="1">
      <alignment horizontal="left"/>
    </xf>
    <xf numFmtId="0" fontId="6" fillId="2" borderId="2" xfId="0" applyFont="1" applyFill="1" applyBorder="1" applyAlignment="1">
      <alignment horizontal="center" vertical="center" wrapText="1"/>
    </xf>
    <xf numFmtId="0" fontId="14" fillId="2" borderId="7" xfId="0" applyFont="1" applyFill="1" applyBorder="1" applyAlignment="1">
      <alignment horizontal="center"/>
    </xf>
    <xf numFmtId="0" fontId="14" fillId="2" borderId="8" xfId="0" applyFont="1" applyFill="1" applyBorder="1" applyAlignment="1">
      <alignment horizontal="center"/>
    </xf>
    <xf numFmtId="0" fontId="14" fillId="2" borderId="9" xfId="0" applyFont="1" applyFill="1" applyBorder="1" applyAlignment="1">
      <alignment horizontal="center"/>
    </xf>
    <xf numFmtId="0" fontId="6" fillId="5" borderId="2" xfId="0" applyFont="1" applyFill="1" applyBorder="1" applyAlignment="1">
      <alignment horizontal="left" vertical="center" wrapText="1"/>
    </xf>
    <xf numFmtId="0" fontId="6" fillId="2" borderId="7" xfId="0" applyFont="1" applyFill="1" applyBorder="1" applyAlignment="1">
      <alignment horizontal="left" vertical="center" wrapText="1"/>
    </xf>
    <xf numFmtId="0" fontId="6" fillId="2" borderId="8" xfId="0" applyFont="1" applyFill="1" applyBorder="1" applyAlignment="1">
      <alignment horizontal="left" vertical="center" wrapText="1"/>
    </xf>
    <xf numFmtId="0" fontId="6" fillId="2" borderId="9" xfId="0" applyFont="1" applyFill="1" applyBorder="1" applyAlignment="1">
      <alignment horizontal="left" vertical="center" wrapText="1"/>
    </xf>
    <xf numFmtId="0" fontId="13" fillId="2" borderId="0" xfId="0" applyFont="1" applyFill="1" applyAlignment="1">
      <alignment horizontal="left" vertical="center" wrapText="1"/>
    </xf>
    <xf numFmtId="0" fontId="6" fillId="5" borderId="7" xfId="0" applyFont="1" applyFill="1" applyBorder="1" applyAlignment="1">
      <alignment horizontal="left" vertical="center" wrapText="1"/>
    </xf>
    <xf numFmtId="0" fontId="6" fillId="5" borderId="9" xfId="0" applyFont="1" applyFill="1" applyBorder="1" applyAlignment="1">
      <alignment horizontal="left" vertical="center" wrapText="1"/>
    </xf>
    <xf numFmtId="0" fontId="12" fillId="2" borderId="0" xfId="0" applyFont="1" applyFill="1" applyAlignment="1">
      <alignment horizontal="center" vertical="center" wrapText="1"/>
    </xf>
    <xf numFmtId="0" fontId="15" fillId="2" borderId="0" xfId="0" applyFont="1" applyFill="1" applyAlignment="1">
      <alignment horizontal="left" vertical="top" wrapText="1"/>
    </xf>
    <xf numFmtId="0" fontId="19" fillId="2" borderId="0" xfId="0" applyFont="1" applyFill="1" applyAlignment="1">
      <alignment horizontal="left" vertical="center" wrapText="1" indent="2"/>
    </xf>
    <xf numFmtId="0" fontId="12" fillId="13" borderId="7" xfId="0" applyFont="1" applyFill="1" applyBorder="1" applyAlignment="1">
      <alignment horizontal="right" vertical="center" wrapText="1"/>
    </xf>
    <xf numFmtId="0" fontId="12" fillId="13" borderId="8" xfId="0" applyFont="1" applyFill="1" applyBorder="1" applyAlignment="1">
      <alignment horizontal="right" vertical="center" wrapText="1"/>
    </xf>
    <xf numFmtId="0" fontId="12" fillId="13" borderId="9" xfId="0" applyFont="1" applyFill="1" applyBorder="1" applyAlignment="1">
      <alignment horizontal="right" vertical="center" wrapText="1"/>
    </xf>
    <xf numFmtId="14" fontId="6" fillId="2" borderId="7" xfId="0" applyNumberFormat="1" applyFont="1" applyFill="1" applyBorder="1" applyAlignment="1">
      <alignment horizontal="center"/>
    </xf>
    <xf numFmtId="0" fontId="6" fillId="2" borderId="8" xfId="0" applyFont="1" applyFill="1" applyBorder="1" applyAlignment="1">
      <alignment horizontal="center"/>
    </xf>
    <xf numFmtId="0" fontId="6" fillId="2" borderId="9" xfId="0" applyFont="1" applyFill="1" applyBorder="1" applyAlignment="1">
      <alignment horizontal="center"/>
    </xf>
    <xf numFmtId="0" fontId="6" fillId="2" borderId="7" xfId="0" applyFont="1" applyFill="1" applyBorder="1" applyAlignment="1">
      <alignment horizontal="center"/>
    </xf>
    <xf numFmtId="0" fontId="12" fillId="13" borderId="0" xfId="0" applyFont="1" applyFill="1" applyAlignment="1">
      <alignment horizontal="center" vertical="center" wrapText="1"/>
    </xf>
    <xf numFmtId="0" fontId="12" fillId="13" borderId="12" xfId="0" applyFont="1" applyFill="1" applyBorder="1" applyAlignment="1">
      <alignment horizontal="center" vertical="center" wrapText="1"/>
    </xf>
    <xf numFmtId="0" fontId="12" fillId="13" borderId="7" xfId="0" applyFont="1" applyFill="1" applyBorder="1" applyAlignment="1">
      <alignment horizontal="center" vertical="center" wrapText="1"/>
    </xf>
    <xf numFmtId="0" fontId="12" fillId="13" borderId="8" xfId="0" applyFont="1" applyFill="1" applyBorder="1" applyAlignment="1">
      <alignment horizontal="center" vertical="center" wrapText="1"/>
    </xf>
    <xf numFmtId="0" fontId="12" fillId="13" borderId="9" xfId="0" applyFont="1" applyFill="1" applyBorder="1" applyAlignment="1">
      <alignment horizontal="center" vertical="center" wrapText="1"/>
    </xf>
    <xf numFmtId="0" fontId="12" fillId="13" borderId="2" xfId="0" applyFont="1" applyFill="1" applyBorder="1" applyAlignment="1">
      <alignment horizontal="center" vertical="center" wrapText="1"/>
    </xf>
    <xf numFmtId="0" fontId="19" fillId="2" borderId="0" xfId="0" applyFont="1" applyFill="1" applyAlignment="1">
      <alignment horizontal="center" vertical="center" wrapText="1"/>
    </xf>
    <xf numFmtId="0" fontId="19" fillId="2" borderId="0" xfId="0" applyFont="1" applyFill="1" applyAlignment="1">
      <alignment horizontal="center" wrapText="1"/>
    </xf>
    <xf numFmtId="0" fontId="6" fillId="0" borderId="0" xfId="0" applyFont="1" applyAlignment="1">
      <alignment horizontal="left" wrapText="1"/>
    </xf>
    <xf numFmtId="0" fontId="6" fillId="0" borderId="7" xfId="0" applyFont="1" applyBorder="1" applyAlignment="1">
      <alignment horizontal="left" wrapText="1"/>
    </xf>
    <xf numFmtId="0" fontId="6" fillId="0" borderId="8" xfId="0" applyFont="1" applyBorder="1" applyAlignment="1">
      <alignment horizontal="left" wrapText="1"/>
    </xf>
    <xf numFmtId="0" fontId="6" fillId="0" borderId="9" xfId="0" applyFont="1" applyBorder="1" applyAlignment="1">
      <alignment horizontal="left"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6" fillId="0" borderId="2" xfId="0" applyFont="1" applyBorder="1" applyAlignment="1">
      <alignment horizontal="left" wrapText="1"/>
    </xf>
    <xf numFmtId="14" fontId="6" fillId="0" borderId="2" xfId="0" applyNumberFormat="1" applyFont="1" applyBorder="1" applyAlignment="1">
      <alignment horizontal="left" wrapText="1"/>
    </xf>
    <xf numFmtId="0" fontId="5" fillId="15" borderId="7" xfId="0" applyFont="1" applyFill="1" applyBorder="1" applyAlignment="1">
      <alignment horizontal="center" vertical="center" wrapText="1"/>
    </xf>
    <xf numFmtId="0" fontId="5" fillId="15" borderId="8" xfId="0" applyFont="1" applyFill="1" applyBorder="1" applyAlignment="1">
      <alignment horizontal="center" vertical="center" wrapText="1"/>
    </xf>
    <xf numFmtId="0" fontId="5" fillId="15" borderId="9" xfId="0" applyFont="1" applyFill="1" applyBorder="1" applyAlignment="1">
      <alignment horizontal="center" vertical="center" wrapText="1"/>
    </xf>
    <xf numFmtId="0" fontId="5" fillId="15" borderId="2" xfId="0" applyFont="1" applyFill="1" applyBorder="1" applyAlignment="1">
      <alignment horizontal="center" vertical="center" wrapText="1"/>
    </xf>
    <xf numFmtId="0" fontId="37" fillId="2" borderId="14" xfId="0" applyFont="1" applyFill="1" applyBorder="1" applyAlignment="1">
      <alignment horizontal="center" wrapText="1"/>
    </xf>
    <xf numFmtId="0" fontId="6" fillId="2" borderId="2" xfId="0" applyFont="1" applyFill="1" applyBorder="1" applyAlignment="1">
      <alignment horizontal="left" wrapText="1"/>
    </xf>
    <xf numFmtId="0" fontId="12" fillId="0" borderId="0" xfId="0" applyFont="1" applyAlignment="1">
      <alignment horizontal="left" wrapText="1"/>
    </xf>
    <xf numFmtId="0" fontId="18" fillId="0" borderId="2" xfId="0" quotePrefix="1" applyFont="1" applyBorder="1" applyAlignment="1">
      <alignment horizontal="left" vertical="top" wrapText="1"/>
    </xf>
    <xf numFmtId="0" fontId="26" fillId="17" borderId="6" xfId="0" applyFont="1" applyFill="1" applyBorder="1" applyAlignment="1">
      <alignment horizontal="center" vertical="center" wrapText="1"/>
    </xf>
    <xf numFmtId="0" fontId="26" fillId="17" borderId="0" xfId="0" applyFont="1" applyFill="1" applyAlignment="1">
      <alignment horizontal="center" vertical="center" wrapText="1"/>
    </xf>
    <xf numFmtId="0" fontId="26" fillId="17" borderId="12" xfId="0" applyFont="1" applyFill="1" applyBorder="1" applyAlignment="1">
      <alignment horizontal="center" vertical="center" wrapText="1"/>
    </xf>
    <xf numFmtId="0" fontId="26" fillId="17" borderId="5" xfId="0" applyFont="1" applyFill="1" applyBorder="1" applyAlignment="1">
      <alignment horizontal="center" vertical="center" wrapText="1"/>
    </xf>
    <xf numFmtId="0" fontId="29" fillId="0" borderId="5" xfId="0" applyFont="1" applyBorder="1" applyAlignment="1">
      <alignment horizontal="center" vertical="center" wrapText="1"/>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19" fillId="2" borderId="0" xfId="0" applyFont="1" applyFill="1" applyAlignment="1">
      <alignment horizontal="left" wrapText="1"/>
    </xf>
    <xf numFmtId="0" fontId="19" fillId="2" borderId="0" xfId="0" applyFont="1" applyFill="1" applyAlignment="1">
      <alignment horizontal="left"/>
    </xf>
    <xf numFmtId="0" fontId="0" fillId="16" borderId="0" xfId="0" applyFill="1" applyAlignment="1">
      <alignment horizontal="left" vertical="top" wrapText="1"/>
    </xf>
    <xf numFmtId="0" fontId="48" fillId="0" borderId="0" xfId="0" applyFont="1" applyAlignment="1">
      <alignment horizontal="center" vertical="center" textRotation="180"/>
    </xf>
    <xf numFmtId="0" fontId="51" fillId="2" borderId="0" xfId="0" applyFont="1" applyFill="1" applyAlignment="1">
      <alignment horizontal="left" vertical="center" wrapText="1"/>
    </xf>
    <xf numFmtId="0" fontId="52" fillId="13" borderId="0" xfId="0" applyFont="1" applyFill="1" applyAlignment="1">
      <alignment wrapText="1"/>
    </xf>
    <xf numFmtId="0" fontId="0" fillId="0" borderId="0" xfId="0" applyNumberFormat="1"/>
  </cellXfs>
  <cellStyles count="32">
    <cellStyle name="Bereich" xfId="4"/>
    <cellStyle name="Bereich 2" xfId="5"/>
    <cellStyle name="Bereich 2 2" xfId="6"/>
    <cellStyle name="Beschreibung" xfId="7"/>
    <cellStyle name="Blattname" xfId="8"/>
    <cellStyle name="Button_aktiv" xfId="9"/>
    <cellStyle name="Header" xfId="10"/>
    <cellStyle name="Header klein" xfId="11"/>
    <cellStyle name="HyperlinkProzesse" xfId="12"/>
    <cellStyle name="Liste" xfId="13"/>
    <cellStyle name="Liste 2" xfId="14"/>
    <cellStyle name="Mappe_Info" xfId="15"/>
    <cellStyle name="Standard" xfId="0" builtinId="0"/>
    <cellStyle name="Standard 2" xfId="3"/>
    <cellStyle name="Standard 2 2" xfId="16"/>
    <cellStyle name="Standard 2 2 2" xfId="17"/>
    <cellStyle name="Standard 2 3" xfId="18"/>
    <cellStyle name="Standard 2 4" xfId="19"/>
    <cellStyle name="Standard 2 5" xfId="20"/>
    <cellStyle name="Standard 2 6" xfId="21"/>
    <cellStyle name="Standard 2 7" xfId="22"/>
    <cellStyle name="Standard 2 8" xfId="23"/>
    <cellStyle name="Standard 3" xfId="24"/>
    <cellStyle name="Standard 4" xfId="31"/>
    <cellStyle name="Standard_20100625_Qualitätsbewertung" xfId="2"/>
    <cellStyle name="Tabelle_Gesperrt" xfId="25"/>
    <cellStyle name="Tabellenkopf" xfId="26"/>
    <cellStyle name="Textbox" xfId="27"/>
    <cellStyle name="Textbox 2" xfId="28"/>
    <cellStyle name="Textbox 2 2" xfId="29"/>
    <cellStyle name="Wizzar_Main" xfId="30"/>
    <cellStyle name="Wizzard_Frame" xfId="1"/>
  </cellStyles>
  <dxfs count="853">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indexed="55"/>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indexed="55"/>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indexed="55"/>
        </patternFill>
      </fill>
    </dxf>
    <dxf>
      <fill>
        <patternFill>
          <bgColor theme="0"/>
        </patternFill>
      </fill>
      <border>
        <left/>
        <right/>
        <top/>
        <bottom/>
        <vertical/>
        <horizontal/>
      </border>
    </dxf>
    <dxf>
      <fill>
        <patternFill>
          <bgColor indexed="55"/>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rgb="FF969696"/>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ill>
        <patternFill>
          <bgColor indexed="55"/>
        </patternFill>
      </fill>
    </dxf>
    <dxf>
      <font>
        <b/>
        <i val="0"/>
        <color theme="0"/>
      </font>
      <fill>
        <patternFill>
          <bgColor theme="1" tint="0.499984740745262"/>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ill>
        <patternFill>
          <bgColor rgb="FF969696"/>
        </patternFill>
      </fill>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ill>
        <patternFill>
          <bgColor theme="0"/>
        </patternFill>
      </fill>
      <border>
        <left/>
        <right/>
        <top/>
        <bottom/>
        <vertical/>
        <horizontal/>
      </border>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font>
        <color theme="1" tint="0.34998626667073579"/>
      </font>
      <fill>
        <patternFill>
          <bgColor theme="0" tint="-0.14996795556505021"/>
        </patternFill>
      </fill>
    </dxf>
    <dxf>
      <numFmt numFmtId="0" formatCode="General"/>
    </dxf>
    <dxf>
      <font>
        <strike val="0"/>
        <outline val="0"/>
        <shadow val="0"/>
        <u val="none"/>
        <vertAlign val="baseline"/>
        <sz val="11"/>
        <color theme="0"/>
        <name val="Calibri"/>
        <scheme val="minor"/>
      </font>
      <fill>
        <patternFill patternType="solid">
          <fgColor indexed="64"/>
          <bgColor rgb="FF002D5F"/>
        </patternFill>
      </fill>
      <alignment horizontal="general" vertical="bottom" textRotation="0" wrapText="1" indent="0" justifyLastLine="0" shrinkToFit="0" readingOrder="0"/>
    </dxf>
    <dxf>
      <fill>
        <patternFill patternType="solid">
          <fgColor indexed="64"/>
          <bgColor rgb="FF002D5F"/>
        </patternFill>
      </fill>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30" formatCode="@"/>
      <alignment horizontal="righ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bottom style="thin">
          <color indexed="64"/>
        </bottom>
      </border>
    </dxf>
    <dxf>
      <alignment horizontal="general" vertical="top" textRotation="0" wrapText="1" indent="0" justifyLastLine="0" shrinkToFit="0" readingOrder="0"/>
      <protection locked="0" hidden="0"/>
    </dxf>
    <dxf>
      <font>
        <b/>
        <i val="0"/>
        <strike val="0"/>
        <condense val="0"/>
        <extend val="0"/>
        <outline val="0"/>
        <shadow val="0"/>
        <u val="none"/>
        <vertAlign val="baseline"/>
        <sz val="10"/>
        <color theme="0"/>
        <name val="Arial"/>
        <scheme val="none"/>
      </font>
      <fill>
        <patternFill patternType="solid">
          <fgColor indexed="64"/>
          <bgColor rgb="FF002D5F"/>
        </patternFill>
      </fill>
      <alignment horizontal="general" vertical="center" textRotation="0" wrapText="1" indent="0" justifyLastLine="0" shrinkToFit="0" readingOrder="0"/>
    </dxf>
  </dxfs>
  <tableStyles count="0" defaultTableStyle="TableStyleMedium2" defaultPivotStyle="PivotStyleLight16"/>
  <colors>
    <mruColors>
      <color rgb="FF969696"/>
      <color rgb="FF002D5F"/>
      <color rgb="FFFFCC66"/>
      <color rgb="FF007846"/>
      <color rgb="FF3C3C3C"/>
      <color rgb="FFFAB900"/>
      <color rgb="FF002065"/>
      <color rgb="FF148DEA"/>
      <color rgb="FFA7A500"/>
      <color rgb="FFA5A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3</xdr:col>
      <xdr:colOff>78441</xdr:colOff>
      <xdr:row>0</xdr:row>
      <xdr:rowOff>224118</xdr:rowOff>
    </xdr:from>
    <xdr:to>
      <xdr:col>4</xdr:col>
      <xdr:colOff>571499</xdr:colOff>
      <xdr:row>0</xdr:row>
      <xdr:rowOff>560294</xdr:rowOff>
    </xdr:to>
    <xdr:sp macro="[0]!initialize" textlink="">
      <xdr:nvSpPr>
        <xdr:cNvPr id="2" name="Abgerundetes Rechteck 1">
          <a:extLst>
            <a:ext uri="{FF2B5EF4-FFF2-40B4-BE49-F238E27FC236}">
              <a16:creationId xmlns:a16="http://schemas.microsoft.com/office/drawing/2014/main" id="{00000000-0008-0000-0D00-000002000000}"/>
            </a:ext>
          </a:extLst>
        </xdr:cNvPr>
        <xdr:cNvSpPr/>
      </xdr:nvSpPr>
      <xdr:spPr>
        <a:xfrm>
          <a:off x="3204882" y="224118"/>
          <a:ext cx="1221441" cy="336176"/>
        </a:xfrm>
        <a:prstGeom prst="roundRect">
          <a:avLst/>
        </a:prstGeom>
        <a:solidFill>
          <a:srgbClr val="002D5F"/>
        </a:solidFill>
        <a:ln>
          <a:solidFill>
            <a:srgbClr val="002D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Erstellen</a:t>
          </a:r>
        </a:p>
      </xdr:txBody>
    </xdr:sp>
    <xdr:clientData/>
  </xdr:twoCellAnchor>
</xdr:wsDr>
</file>

<file path=xl/tables/table1.xml><?xml version="1.0" encoding="utf-8"?>
<table xmlns="http://schemas.openxmlformats.org/spreadsheetml/2006/main" id="2" name="Tabelle2" displayName="Tabelle2" ref="B3:E143" totalsRowShown="0" headerRowDxfId="852" dataDxfId="851" tableBorderDxfId="850" headerRowCellStyle="Standard 2">
  <sortState ref="B4:E129">
    <sortCondition ref="C3:C127"/>
  </sortState>
  <tableColumns count="4">
    <tableColumn id="1" name="ID" dataDxfId="849"/>
    <tableColumn id="2" name="Name" dataDxfId="848"/>
    <tableColumn id="3" name="Kurzbeschreibung" dataDxfId="847"/>
    <tableColumn id="4" name="System Owner" dataDxfId="846"/>
  </tableColumns>
  <tableStyleInfo showFirstColumn="0" showLastColumn="0" showRowStripes="1" showColumnStripes="0"/>
</table>
</file>

<file path=xl/tables/table2.xml><?xml version="1.0" encoding="utf-8"?>
<table xmlns="http://schemas.openxmlformats.org/spreadsheetml/2006/main" id="1" name="tabKreuzreferenz" displayName="tabKreuzreferenz" ref="B2:AD39" totalsRowShown="0" headerRowDxfId="845">
  <autoFilter ref="B2:AD39"/>
  <tableColumns count="29">
    <tableColumn id="1" name="Anwendungen" dataDxfId="844"/>
    <tableColumn id="2" name="MAX_x000a_C" dataDxfId="843"/>
    <tableColumn id="9" name="MAX_x000a_I"/>
    <tableColumn id="11" name="MAX_x000a_AU"/>
    <tableColumn id="10" name="MAX_x000a_A"/>
    <tableColumn id="7" name="P1_x000a_C"/>
    <tableColumn id="8" name="P1_x000a_I"/>
    <tableColumn id="5" name="P1_x000a_AU"/>
    <tableColumn id="12" name="P1_x000a_A"/>
    <tableColumn id="14" name="P2_x000a_C"/>
    <tableColumn id="15" name="P2_x000a_I"/>
    <tableColumn id="16" name="P2_x000a_AU"/>
    <tableColumn id="17" name="P2_x000a_A"/>
    <tableColumn id="6" name="P3_x000a_C"/>
    <tableColumn id="3" name="P3_x000a_I"/>
    <tableColumn id="13" name="P3_x000a_AU"/>
    <tableColumn id="4" name="P3_x000a_A"/>
    <tableColumn id="18" name="P4_x000a_C"/>
    <tableColumn id="19" name="P4_x000a_I"/>
    <tableColumn id="20" name="P4_x000a_AU"/>
    <tableColumn id="21" name="P4_x000a_A"/>
    <tableColumn id="22" name="P5_x000a_C"/>
    <tableColumn id="23" name="P5_x000a_I"/>
    <tableColumn id="24" name="P5_x000a_AU"/>
    <tableColumn id="25" name="P5_x000a_A"/>
    <tableColumn id="26" name="P6_x000a_C"/>
    <tableColumn id="27" name="P6_x000a_I"/>
    <tableColumn id="28" name="P6_x000a_AU"/>
    <tableColumn id="29" name="P6_x000a_A"/>
  </tableColumns>
  <tableStyleInfo name="TableStyleMedium15"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46"/>
  <sheetViews>
    <sheetView workbookViewId="0">
      <selection activeCell="C31" sqref="C31"/>
    </sheetView>
  </sheetViews>
  <sheetFormatPr baseColWidth="10" defaultColWidth="0" defaultRowHeight="15" zeroHeight="1" x14ac:dyDescent="0.25"/>
  <cols>
    <col min="1" max="1" width="10.85546875" style="1" customWidth="1"/>
    <col min="2" max="2" width="3" style="1" customWidth="1"/>
    <col min="3" max="3" width="113.42578125" style="1" customWidth="1"/>
    <col min="4" max="4" width="3" style="1" customWidth="1"/>
    <col min="5" max="5" width="10.85546875" style="1" customWidth="1"/>
    <col min="6" max="11" width="0" style="1" hidden="1" customWidth="1"/>
    <col min="12" max="16384" width="10.85546875" style="1" hidden="1"/>
  </cols>
  <sheetData>
    <row r="1" spans="2:11" x14ac:dyDescent="0.25"/>
    <row r="2" spans="2:11" ht="23.25" customHeight="1" x14ac:dyDescent="0.25">
      <c r="B2" s="126" t="s">
        <v>252</v>
      </c>
      <c r="C2" s="126"/>
      <c r="D2" s="126"/>
      <c r="E2" s="67"/>
      <c r="F2" s="67"/>
      <c r="G2" s="67"/>
      <c r="H2" s="67"/>
      <c r="I2" s="67"/>
      <c r="J2" s="67"/>
      <c r="K2" s="67"/>
    </row>
    <row r="3" spans="2:11" x14ac:dyDescent="0.25"/>
    <row r="4" spans="2:11" x14ac:dyDescent="0.25">
      <c r="B4" s="40"/>
      <c r="C4" s="40"/>
      <c r="D4" s="40"/>
    </row>
    <row r="5" spans="2:11" x14ac:dyDescent="0.25">
      <c r="B5" s="40"/>
      <c r="C5" s="38" t="s">
        <v>0</v>
      </c>
      <c r="D5" s="40"/>
      <c r="E5" s="36"/>
      <c r="I5" s="36"/>
      <c r="J5" s="36"/>
    </row>
    <row r="6" spans="2:11" x14ac:dyDescent="0.25">
      <c r="B6" s="40"/>
      <c r="C6" s="37"/>
      <c r="D6" s="37"/>
      <c r="E6" s="36"/>
      <c r="I6" s="36"/>
      <c r="J6" s="36"/>
    </row>
    <row r="7" spans="2:11" ht="43.5" customHeight="1" x14ac:dyDescent="0.25">
      <c r="B7" s="40"/>
      <c r="C7" s="39" t="s">
        <v>1</v>
      </c>
      <c r="D7" s="39"/>
      <c r="E7" s="41"/>
      <c r="I7" s="41"/>
      <c r="J7" s="41"/>
    </row>
    <row r="8" spans="2:11" x14ac:dyDescent="0.25">
      <c r="B8" s="40"/>
      <c r="C8" s="39"/>
      <c r="D8" s="39"/>
      <c r="E8" s="41"/>
      <c r="I8" s="41"/>
      <c r="J8" s="41"/>
    </row>
    <row r="9" spans="2:11" ht="14.1" customHeight="1" x14ac:dyDescent="0.25">
      <c r="E9" s="41"/>
      <c r="I9" s="41"/>
      <c r="J9" s="41"/>
    </row>
    <row r="10" spans="2:11" x14ac:dyDescent="0.25">
      <c r="B10" s="40"/>
      <c r="C10" s="40"/>
      <c r="D10" s="40"/>
    </row>
    <row r="11" spans="2:11" x14ac:dyDescent="0.25">
      <c r="B11" s="40"/>
      <c r="C11" s="38" t="s">
        <v>2</v>
      </c>
      <c r="D11" s="40"/>
    </row>
    <row r="12" spans="2:11" x14ac:dyDescent="0.25">
      <c r="B12" s="40"/>
      <c r="C12" s="37"/>
      <c r="D12" s="37"/>
    </row>
    <row r="13" spans="2:11" ht="30" x14ac:dyDescent="0.25">
      <c r="B13" s="40"/>
      <c r="C13" s="39" t="s">
        <v>3</v>
      </c>
      <c r="D13" s="39"/>
    </row>
    <row r="14" spans="2:11" x14ac:dyDescent="0.25">
      <c r="B14" s="40"/>
      <c r="C14" s="39"/>
      <c r="D14" s="39"/>
    </row>
    <row r="15" spans="2:11" x14ac:dyDescent="0.25">
      <c r="C15" s="41"/>
      <c r="D15" s="41"/>
    </row>
    <row r="16" spans="2:11" x14ac:dyDescent="0.25">
      <c r="B16" s="40"/>
      <c r="C16" s="40"/>
      <c r="D16" s="40"/>
    </row>
    <row r="17" spans="2:4" x14ac:dyDescent="0.25">
      <c r="B17" s="40"/>
      <c r="C17" s="38" t="s">
        <v>4</v>
      </c>
      <c r="D17" s="40"/>
    </row>
    <row r="18" spans="2:4" x14ac:dyDescent="0.25">
      <c r="B18" s="40"/>
      <c r="C18" s="37"/>
      <c r="D18" s="37"/>
    </row>
    <row r="19" spans="2:4" ht="30" x14ac:dyDescent="0.25">
      <c r="B19" s="40"/>
      <c r="C19" s="39" t="s">
        <v>5</v>
      </c>
      <c r="D19" s="39"/>
    </row>
    <row r="20" spans="2:4" x14ac:dyDescent="0.25">
      <c r="B20" s="40"/>
      <c r="C20" s="39"/>
      <c r="D20" s="39"/>
    </row>
    <row r="21" spans="2:4" x14ac:dyDescent="0.25"/>
    <row r="22" spans="2:4" x14ac:dyDescent="0.25">
      <c r="B22" s="40"/>
      <c r="C22" s="40"/>
      <c r="D22" s="40"/>
    </row>
    <row r="23" spans="2:4" x14ac:dyDescent="0.25">
      <c r="B23" s="40"/>
      <c r="C23" s="38" t="s">
        <v>6</v>
      </c>
      <c r="D23" s="40"/>
    </row>
    <row r="24" spans="2:4" x14ac:dyDescent="0.25">
      <c r="B24" s="40"/>
      <c r="C24" s="37"/>
      <c r="D24" s="37"/>
    </row>
    <row r="25" spans="2:4" ht="30" x14ac:dyDescent="0.25">
      <c r="B25" s="40"/>
      <c r="C25" s="39" t="s">
        <v>7</v>
      </c>
      <c r="D25" s="39"/>
    </row>
    <row r="26" spans="2:4" x14ac:dyDescent="0.25">
      <c r="B26" s="40"/>
      <c r="C26" s="39"/>
      <c r="D26" s="39"/>
    </row>
    <row r="27" spans="2:4" x14ac:dyDescent="0.25"/>
    <row r="28" spans="2:4" x14ac:dyDescent="0.25">
      <c r="B28" s="40"/>
      <c r="C28" s="40"/>
      <c r="D28" s="40"/>
    </row>
    <row r="29" spans="2:4" x14ac:dyDescent="0.25">
      <c r="B29" s="40"/>
      <c r="C29" s="38" t="s">
        <v>8</v>
      </c>
      <c r="D29" s="40"/>
    </row>
    <row r="30" spans="2:4" x14ac:dyDescent="0.25">
      <c r="B30" s="40"/>
      <c r="C30" s="37"/>
      <c r="D30" s="37"/>
    </row>
    <row r="31" spans="2:4" ht="105" x14ac:dyDescent="0.25">
      <c r="B31" s="40"/>
      <c r="C31" s="39" t="s">
        <v>9</v>
      </c>
      <c r="D31" s="39"/>
    </row>
    <row r="32" spans="2:4" x14ac:dyDescent="0.25">
      <c r="B32" s="39"/>
      <c r="C32" s="42"/>
      <c r="D32" s="39"/>
    </row>
    <row r="33" spans="2:4" x14ac:dyDescent="0.25"/>
    <row r="34" spans="2:4" hidden="1" x14ac:dyDescent="0.25">
      <c r="B34" s="40"/>
      <c r="C34" s="40"/>
      <c r="D34" s="40"/>
    </row>
    <row r="35" spans="2:4" hidden="1" x14ac:dyDescent="0.25">
      <c r="B35" s="40"/>
      <c r="C35" s="111" t="s">
        <v>10</v>
      </c>
      <c r="D35" s="40"/>
    </row>
    <row r="36" spans="2:4" hidden="1" x14ac:dyDescent="0.25">
      <c r="B36" s="40"/>
      <c r="C36" s="112"/>
      <c r="D36" s="37"/>
    </row>
    <row r="37" spans="2:4" ht="60" hidden="1" x14ac:dyDescent="0.25">
      <c r="B37" s="40"/>
      <c r="C37" s="113" t="s">
        <v>11</v>
      </c>
      <c r="D37" s="39"/>
    </row>
    <row r="38" spans="2:4" hidden="1" x14ac:dyDescent="0.25">
      <c r="B38" s="40"/>
      <c r="C38" s="39"/>
      <c r="D38" s="39"/>
    </row>
    <row r="40" spans="2:4" x14ac:dyDescent="0.25">
      <c r="B40" s="40"/>
      <c r="C40" s="40"/>
      <c r="D40" s="40"/>
    </row>
    <row r="41" spans="2:4" x14ac:dyDescent="0.25">
      <c r="B41" s="40"/>
      <c r="C41" s="38" t="s">
        <v>251</v>
      </c>
      <c r="D41" s="40"/>
    </row>
    <row r="42" spans="2:4" x14ac:dyDescent="0.25">
      <c r="B42" s="40"/>
      <c r="C42" s="37"/>
      <c r="D42" s="37"/>
    </row>
    <row r="43" spans="2:4" ht="45" x14ac:dyDescent="0.25">
      <c r="B43" s="40"/>
      <c r="C43" s="39" t="s">
        <v>12</v>
      </c>
      <c r="D43" s="39"/>
    </row>
    <row r="44" spans="2:4" x14ac:dyDescent="0.25">
      <c r="B44" s="40"/>
      <c r="C44" s="39"/>
      <c r="D44" s="39"/>
    </row>
    <row r="45" spans="2:4" x14ac:dyDescent="0.25"/>
    <row r="46" spans="2:4" x14ac:dyDescent="0.25"/>
  </sheetData>
  <mergeCells count="1">
    <mergeCell ref="B2:D2"/>
  </mergeCells>
  <pageMargins left="0.7" right="0.7" top="0.78740157499999996" bottom="0.78740157499999996" header="0.3" footer="0.3"/>
  <pageSetup paperSize="9" orientation="portrait" horizontalDpi="90"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Allgemein">
    <tabColor rgb="FF002065"/>
    <pageSetUpPr fitToPage="1"/>
  </sheetPr>
  <dimension ref="A1:Q183"/>
  <sheetViews>
    <sheetView zoomScaleNormal="130" workbookViewId="0">
      <selection activeCell="I53" sqref="I53:J53"/>
    </sheetView>
  </sheetViews>
  <sheetFormatPr baseColWidth="10" defaultColWidth="0" defaultRowHeight="0" customHeight="1" zeroHeight="1" x14ac:dyDescent="0.25"/>
  <cols>
    <col min="1" max="1" width="3.28515625" style="4" customWidth="1"/>
    <col min="2" max="2" width="3.7109375" style="4" customWidth="1"/>
    <col min="3" max="3" width="18.42578125" style="4" customWidth="1"/>
    <col min="4" max="4" width="25.42578125" style="4" customWidth="1"/>
    <col min="5" max="5" width="2.85546875" style="4" customWidth="1"/>
    <col min="6" max="6" width="20.140625" style="4" customWidth="1"/>
    <col min="7" max="7" width="20" style="4" customWidth="1"/>
    <col min="8" max="8" width="2.85546875" style="4" customWidth="1"/>
    <col min="9" max="10" width="20.140625" style="4" customWidth="1"/>
    <col min="11" max="11" width="2.85546875" style="4" customWidth="1"/>
    <col min="12" max="12" width="41.85546875" style="4" customWidth="1"/>
    <col min="13" max="13" width="3" style="4" customWidth="1"/>
    <col min="14" max="14" width="42.140625" style="3" customWidth="1"/>
    <col min="15" max="15" width="4" style="3" customWidth="1"/>
    <col min="16" max="16" width="44.85546875" style="3" hidden="1" customWidth="1"/>
    <col min="17" max="17" width="4" style="3" hidden="1" customWidth="1"/>
    <col min="18" max="16384" width="11.42578125" style="3" hidden="1"/>
  </cols>
  <sheetData>
    <row r="1" spans="1:13" ht="70.5" customHeight="1" x14ac:dyDescent="0.2">
      <c r="A1" s="5"/>
      <c r="B1" s="5"/>
      <c r="C1" s="143" t="s">
        <v>13</v>
      </c>
      <c r="D1" s="143"/>
      <c r="E1" s="143"/>
      <c r="F1" s="143"/>
      <c r="G1" s="143"/>
      <c r="H1" s="143"/>
      <c r="I1" s="143"/>
      <c r="J1" s="143"/>
      <c r="K1" s="143"/>
      <c r="L1" s="5"/>
      <c r="M1" s="3"/>
    </row>
    <row r="2" spans="1:13" ht="12" x14ac:dyDescent="0.2">
      <c r="A2" s="5"/>
      <c r="B2" s="5"/>
      <c r="C2" s="6"/>
      <c r="D2" s="6"/>
      <c r="E2" s="6"/>
      <c r="F2" s="6"/>
      <c r="G2" s="6"/>
      <c r="H2" s="7"/>
      <c r="I2" s="7"/>
      <c r="J2" s="5"/>
      <c r="K2" s="5"/>
      <c r="L2" s="5"/>
      <c r="M2" s="5"/>
    </row>
    <row r="3" spans="1:13" ht="15" customHeight="1" x14ac:dyDescent="0.2">
      <c r="A3" s="5"/>
      <c r="B3" s="5"/>
      <c r="C3" s="144" t="s">
        <v>207</v>
      </c>
      <c r="D3" s="145"/>
      <c r="E3" s="146"/>
      <c r="F3" s="147">
        <v>45265</v>
      </c>
      <c r="G3" s="148"/>
      <c r="H3" s="149"/>
      <c r="I3" s="7"/>
      <c r="J3" s="5"/>
      <c r="K3" s="5"/>
      <c r="L3" s="5"/>
      <c r="M3" s="5"/>
    </row>
    <row r="4" spans="1:13" ht="12" customHeight="1" x14ac:dyDescent="0.2">
      <c r="A4" s="5"/>
      <c r="B4" s="5"/>
      <c r="C4" s="144" t="s">
        <v>14</v>
      </c>
      <c r="D4" s="145"/>
      <c r="E4" s="146"/>
      <c r="F4" s="150" t="s">
        <v>234</v>
      </c>
      <c r="G4" s="148"/>
      <c r="H4" s="149"/>
      <c r="I4" s="7"/>
      <c r="J4" s="5"/>
      <c r="K4" s="5"/>
      <c r="L4" s="5"/>
      <c r="M4" s="5"/>
    </row>
    <row r="5" spans="1:13" ht="12" x14ac:dyDescent="0.2">
      <c r="A5" s="5"/>
      <c r="B5" s="5"/>
      <c r="C5" s="6"/>
      <c r="D5" s="6"/>
      <c r="E5" s="6"/>
      <c r="F5" s="6"/>
      <c r="G5" s="6"/>
      <c r="H5" s="7"/>
      <c r="I5" s="7"/>
      <c r="J5" s="5"/>
      <c r="K5" s="5"/>
      <c r="L5" s="5"/>
      <c r="M5" s="5"/>
    </row>
    <row r="6" spans="1:13" ht="14.1" customHeight="1" x14ac:dyDescent="0.2">
      <c r="A6" s="8"/>
      <c r="B6" s="8"/>
      <c r="C6" s="8" t="s">
        <v>15</v>
      </c>
      <c r="E6" s="6"/>
      <c r="F6" s="6"/>
      <c r="G6" s="6"/>
      <c r="H6" s="7"/>
      <c r="I6" s="7"/>
      <c r="J6" s="5"/>
      <c r="K6" s="5"/>
      <c r="L6" s="5"/>
      <c r="M6" s="5"/>
    </row>
    <row r="7" spans="1:13" ht="5.25" customHeight="1" x14ac:dyDescent="0.2">
      <c r="A7" s="5"/>
      <c r="B7" s="5"/>
      <c r="C7" s="5"/>
      <c r="D7" s="5"/>
      <c r="E7" s="5"/>
      <c r="F7" s="5"/>
      <c r="G7" s="5"/>
      <c r="H7" s="5"/>
      <c r="I7" s="5"/>
      <c r="J7" s="5"/>
      <c r="K7" s="5"/>
      <c r="L7" s="5"/>
      <c r="M7" s="5"/>
    </row>
    <row r="8" spans="1:13" ht="12" customHeight="1" x14ac:dyDescent="0.2">
      <c r="A8" s="5"/>
      <c r="B8" s="151" t="s">
        <v>192</v>
      </c>
      <c r="C8" s="151"/>
      <c r="D8" s="151"/>
      <c r="E8" s="152"/>
      <c r="F8" s="153" t="s">
        <v>16</v>
      </c>
      <c r="G8" s="154"/>
      <c r="H8" s="155"/>
      <c r="I8" s="153" t="s">
        <v>17</v>
      </c>
      <c r="J8" s="154"/>
      <c r="K8" s="155"/>
      <c r="L8" s="74" t="s">
        <v>18</v>
      </c>
      <c r="M8" s="3"/>
    </row>
    <row r="9" spans="1:13" ht="12" x14ac:dyDescent="0.2">
      <c r="A9" s="5"/>
      <c r="B9" s="25" t="s">
        <v>19</v>
      </c>
      <c r="C9" s="127" t="s">
        <v>242</v>
      </c>
      <c r="D9" s="128"/>
      <c r="E9" s="129"/>
      <c r="F9" s="130"/>
      <c r="G9" s="130"/>
      <c r="H9" s="130"/>
      <c r="I9" s="131" t="s">
        <v>235</v>
      </c>
      <c r="J9" s="132"/>
      <c r="K9" s="133"/>
      <c r="L9" s="26"/>
      <c r="M9" s="3"/>
    </row>
    <row r="10" spans="1:13" ht="11.45" customHeight="1" x14ac:dyDescent="0.2">
      <c r="A10" s="5"/>
      <c r="B10" s="25" t="s">
        <v>20</v>
      </c>
      <c r="C10" s="4" t="s">
        <v>243</v>
      </c>
      <c r="F10" s="130"/>
      <c r="G10" s="130"/>
      <c r="H10" s="130"/>
      <c r="I10" s="131" t="s">
        <v>236</v>
      </c>
      <c r="J10" s="132"/>
      <c r="K10" s="133"/>
      <c r="L10" s="26"/>
      <c r="M10" s="3"/>
    </row>
    <row r="11" spans="1:13" ht="11.45" customHeight="1" x14ac:dyDescent="0.2">
      <c r="A11" s="5"/>
      <c r="B11" s="25" t="s">
        <v>21</v>
      </c>
      <c r="C11" s="127" t="s">
        <v>244</v>
      </c>
      <c r="D11" s="128"/>
      <c r="E11" s="129"/>
      <c r="F11" s="130"/>
      <c r="G11" s="130"/>
      <c r="H11" s="130"/>
      <c r="I11" s="131" t="s">
        <v>237</v>
      </c>
      <c r="J11" s="132"/>
      <c r="K11" s="133"/>
      <c r="L11" s="26"/>
      <c r="M11" s="3"/>
    </row>
    <row r="12" spans="1:13" ht="11.45" customHeight="1" x14ac:dyDescent="0.2">
      <c r="A12" s="5"/>
      <c r="B12" s="25" t="s">
        <v>22</v>
      </c>
      <c r="C12" s="127" t="s">
        <v>245</v>
      </c>
      <c r="D12" s="128"/>
      <c r="E12" s="129"/>
      <c r="F12" s="130"/>
      <c r="G12" s="130"/>
      <c r="H12" s="130"/>
      <c r="I12" s="131" t="s">
        <v>238</v>
      </c>
      <c r="J12" s="132"/>
      <c r="K12" s="133"/>
      <c r="L12" s="26"/>
      <c r="M12" s="3"/>
    </row>
    <row r="13" spans="1:13" ht="11.45" customHeight="1" x14ac:dyDescent="0.2">
      <c r="A13" s="5"/>
      <c r="B13" s="25" t="s">
        <v>23</v>
      </c>
      <c r="C13" s="127" t="s">
        <v>246</v>
      </c>
      <c r="D13" s="128"/>
      <c r="E13" s="129"/>
      <c r="F13" s="130"/>
      <c r="G13" s="130"/>
      <c r="H13" s="130"/>
      <c r="I13" s="131" t="s">
        <v>239</v>
      </c>
      <c r="J13" s="132"/>
      <c r="K13" s="133"/>
      <c r="L13" s="26"/>
      <c r="M13" s="3"/>
    </row>
    <row r="14" spans="1:13" ht="11.45" customHeight="1" x14ac:dyDescent="0.2">
      <c r="A14" s="5"/>
      <c r="B14" s="25" t="s">
        <v>24</v>
      </c>
      <c r="C14" s="127" t="s">
        <v>247</v>
      </c>
      <c r="D14" s="128"/>
      <c r="E14" s="129"/>
      <c r="F14" s="130"/>
      <c r="G14" s="130"/>
      <c r="H14" s="130"/>
      <c r="I14" s="131" t="s">
        <v>240</v>
      </c>
      <c r="J14" s="132"/>
      <c r="K14" s="133"/>
      <c r="L14" s="26"/>
      <c r="M14" s="3"/>
    </row>
    <row r="15" spans="1:13" ht="11.45" customHeight="1" x14ac:dyDescent="0.2">
      <c r="A15" s="5"/>
      <c r="B15" s="25" t="s">
        <v>25</v>
      </c>
      <c r="C15" s="127" t="s">
        <v>248</v>
      </c>
      <c r="D15" s="128"/>
      <c r="E15" s="129"/>
      <c r="F15" s="130"/>
      <c r="G15" s="130"/>
      <c r="H15" s="130"/>
      <c r="I15" s="131" t="s">
        <v>241</v>
      </c>
      <c r="J15" s="132"/>
      <c r="K15" s="133"/>
      <c r="L15" s="26"/>
      <c r="M15" s="3"/>
    </row>
    <row r="16" spans="1:13" ht="11.45" customHeight="1" x14ac:dyDescent="0.2">
      <c r="A16" s="5"/>
      <c r="B16" s="25" t="s">
        <v>26</v>
      </c>
      <c r="C16" s="127" t="s">
        <v>249</v>
      </c>
      <c r="D16" s="128"/>
      <c r="E16" s="129"/>
      <c r="F16" s="130"/>
      <c r="G16" s="130"/>
      <c r="H16" s="130"/>
      <c r="I16" s="131" t="s">
        <v>250</v>
      </c>
      <c r="J16" s="132"/>
      <c r="K16" s="133"/>
      <c r="L16" s="26"/>
      <c r="M16" s="3"/>
    </row>
    <row r="17" spans="1:13" ht="11.45" customHeight="1" x14ac:dyDescent="0.2">
      <c r="A17" s="5"/>
      <c r="B17" s="25" t="s">
        <v>27</v>
      </c>
      <c r="C17" s="127"/>
      <c r="D17" s="128"/>
      <c r="E17" s="129"/>
      <c r="F17" s="130"/>
      <c r="G17" s="130"/>
      <c r="H17" s="130"/>
      <c r="I17" s="131"/>
      <c r="J17" s="132"/>
      <c r="K17" s="133"/>
      <c r="L17" s="26"/>
      <c r="M17" s="3"/>
    </row>
    <row r="18" spans="1:13" ht="11.45" customHeight="1" x14ac:dyDescent="0.2">
      <c r="A18" s="5"/>
      <c r="B18" s="25" t="s">
        <v>28</v>
      </c>
      <c r="C18" s="127"/>
      <c r="D18" s="128"/>
      <c r="E18" s="129"/>
      <c r="F18" s="130"/>
      <c r="G18" s="130"/>
      <c r="H18" s="130"/>
      <c r="I18" s="131"/>
      <c r="J18" s="132"/>
      <c r="K18" s="133"/>
      <c r="L18" s="26"/>
      <c r="M18" s="3"/>
    </row>
    <row r="19" spans="1:13" ht="11.45" customHeight="1" x14ac:dyDescent="0.2">
      <c r="A19" s="5"/>
      <c r="B19" s="25" t="s">
        <v>29</v>
      </c>
      <c r="C19" s="127"/>
      <c r="D19" s="128"/>
      <c r="E19" s="129"/>
      <c r="F19" s="130"/>
      <c r="G19" s="130"/>
      <c r="H19" s="130"/>
      <c r="I19" s="131"/>
      <c r="J19" s="132"/>
      <c r="K19" s="133"/>
      <c r="L19" s="26"/>
      <c r="M19" s="3"/>
    </row>
    <row r="20" spans="1:13" ht="11.45" hidden="1" customHeight="1" x14ac:dyDescent="0.2">
      <c r="A20" s="5"/>
      <c r="B20" s="25" t="s">
        <v>30</v>
      </c>
      <c r="C20" s="127"/>
      <c r="D20" s="128"/>
      <c r="E20" s="129"/>
      <c r="F20" s="130"/>
      <c r="G20" s="130"/>
      <c r="H20" s="130"/>
      <c r="I20" s="131"/>
      <c r="J20" s="132"/>
      <c r="K20" s="133"/>
      <c r="L20" s="26"/>
      <c r="M20" s="3"/>
    </row>
    <row r="21" spans="1:13" ht="11.45" hidden="1" customHeight="1" x14ac:dyDescent="0.2">
      <c r="A21" s="5"/>
      <c r="B21" s="25" t="s">
        <v>31</v>
      </c>
      <c r="C21" s="127"/>
      <c r="D21" s="128"/>
      <c r="E21" s="129"/>
      <c r="F21" s="130"/>
      <c r="G21" s="130"/>
      <c r="H21" s="130"/>
      <c r="I21" s="131"/>
      <c r="J21" s="132"/>
      <c r="K21" s="133"/>
      <c r="L21" s="26"/>
      <c r="M21" s="3"/>
    </row>
    <row r="22" spans="1:13" ht="11.45" hidden="1" customHeight="1" x14ac:dyDescent="0.2">
      <c r="A22" s="5"/>
      <c r="B22" s="25" t="s">
        <v>32</v>
      </c>
      <c r="C22" s="127"/>
      <c r="D22" s="128"/>
      <c r="E22" s="129"/>
      <c r="F22" s="130"/>
      <c r="G22" s="130"/>
      <c r="H22" s="130"/>
      <c r="I22" s="131"/>
      <c r="J22" s="132"/>
      <c r="K22" s="133"/>
      <c r="L22" s="26"/>
      <c r="M22" s="3"/>
    </row>
    <row r="23" spans="1:13" ht="11.45" hidden="1" customHeight="1" x14ac:dyDescent="0.2">
      <c r="A23" s="5"/>
      <c r="B23" s="25" t="s">
        <v>33</v>
      </c>
      <c r="C23" s="127"/>
      <c r="D23" s="128"/>
      <c r="E23" s="129"/>
      <c r="F23" s="130"/>
      <c r="G23" s="130"/>
      <c r="H23" s="130"/>
      <c r="I23" s="131"/>
      <c r="J23" s="132"/>
      <c r="K23" s="133"/>
      <c r="L23" s="26"/>
      <c r="M23" s="3"/>
    </row>
    <row r="24" spans="1:13" ht="11.45" hidden="1" customHeight="1" x14ac:dyDescent="0.2">
      <c r="A24" s="5"/>
      <c r="B24" s="25" t="s">
        <v>34</v>
      </c>
      <c r="C24" s="127"/>
      <c r="D24" s="128"/>
      <c r="E24" s="129"/>
      <c r="F24" s="130"/>
      <c r="G24" s="130"/>
      <c r="H24" s="130"/>
      <c r="I24" s="131"/>
      <c r="J24" s="132"/>
      <c r="K24" s="133"/>
      <c r="L24" s="26"/>
      <c r="M24" s="3"/>
    </row>
    <row r="25" spans="1:13" ht="11.45" hidden="1" customHeight="1" x14ac:dyDescent="0.2">
      <c r="A25" s="5"/>
      <c r="B25" s="25" t="s">
        <v>35</v>
      </c>
      <c r="C25" s="127"/>
      <c r="D25" s="128"/>
      <c r="E25" s="129"/>
      <c r="F25" s="130"/>
      <c r="G25" s="130"/>
      <c r="H25" s="130"/>
      <c r="I25" s="131"/>
      <c r="J25" s="132"/>
      <c r="K25" s="133"/>
      <c r="L25" s="26"/>
      <c r="M25" s="3"/>
    </row>
    <row r="26" spans="1:13" ht="11.45" hidden="1" customHeight="1" x14ac:dyDescent="0.2">
      <c r="A26" s="5"/>
      <c r="B26" s="25" t="s">
        <v>36</v>
      </c>
      <c r="C26" s="127"/>
      <c r="D26" s="128"/>
      <c r="E26" s="129"/>
      <c r="F26" s="130"/>
      <c r="G26" s="130"/>
      <c r="H26" s="130"/>
      <c r="I26" s="131"/>
      <c r="J26" s="132"/>
      <c r="K26" s="133"/>
      <c r="L26" s="26"/>
      <c r="M26" s="3"/>
    </row>
    <row r="27" spans="1:13" ht="11.45" hidden="1" customHeight="1" x14ac:dyDescent="0.2">
      <c r="A27" s="5"/>
      <c r="B27" s="25" t="s">
        <v>37</v>
      </c>
      <c r="C27" s="127"/>
      <c r="D27" s="128"/>
      <c r="E27" s="129"/>
      <c r="F27" s="130"/>
      <c r="G27" s="130"/>
      <c r="H27" s="130"/>
      <c r="I27" s="131"/>
      <c r="J27" s="132"/>
      <c r="K27" s="133"/>
      <c r="L27" s="26"/>
      <c r="M27" s="3"/>
    </row>
    <row r="28" spans="1:13" ht="11.45" hidden="1" customHeight="1" x14ac:dyDescent="0.2">
      <c r="A28" s="5"/>
      <c r="B28" s="25" t="s">
        <v>38</v>
      </c>
      <c r="C28" s="127"/>
      <c r="D28" s="128"/>
      <c r="E28" s="129"/>
      <c r="F28" s="130"/>
      <c r="G28" s="130"/>
      <c r="H28" s="130"/>
      <c r="I28" s="131"/>
      <c r="J28" s="132"/>
      <c r="K28" s="133"/>
      <c r="L28" s="26"/>
      <c r="M28" s="3"/>
    </row>
    <row r="29" spans="1:13" ht="11.45" hidden="1" customHeight="1" x14ac:dyDescent="0.2">
      <c r="A29" s="5"/>
      <c r="B29" s="25" t="s">
        <v>39</v>
      </c>
      <c r="C29" s="127"/>
      <c r="D29" s="128"/>
      <c r="E29" s="129"/>
      <c r="F29" s="130"/>
      <c r="G29" s="130"/>
      <c r="H29" s="130"/>
      <c r="I29" s="131"/>
      <c r="J29" s="132"/>
      <c r="K29" s="133"/>
      <c r="L29" s="26"/>
      <c r="M29" s="3"/>
    </row>
    <row r="30" spans="1:13" ht="11.45" hidden="1" customHeight="1" x14ac:dyDescent="0.2">
      <c r="A30" s="5"/>
      <c r="B30" s="25" t="s">
        <v>40</v>
      </c>
      <c r="C30" s="127"/>
      <c r="D30" s="128"/>
      <c r="E30" s="129"/>
      <c r="F30" s="130"/>
      <c r="G30" s="130"/>
      <c r="H30" s="130"/>
      <c r="I30" s="131"/>
      <c r="J30" s="132"/>
      <c r="K30" s="133"/>
      <c r="L30" s="26"/>
      <c r="M30" s="3"/>
    </row>
    <row r="31" spans="1:13" ht="11.45" hidden="1" customHeight="1" x14ac:dyDescent="0.2">
      <c r="A31" s="5"/>
      <c r="B31" s="25" t="s">
        <v>41</v>
      </c>
      <c r="C31" s="127"/>
      <c r="D31" s="128"/>
      <c r="E31" s="129"/>
      <c r="F31" s="130"/>
      <c r="G31" s="130"/>
      <c r="H31" s="130"/>
      <c r="I31" s="131"/>
      <c r="J31" s="132"/>
      <c r="K31" s="133"/>
      <c r="L31" s="26"/>
      <c r="M31" s="3"/>
    </row>
    <row r="32" spans="1:13" ht="11.45" hidden="1" customHeight="1" x14ac:dyDescent="0.2">
      <c r="A32" s="5"/>
      <c r="B32" s="25" t="s">
        <v>42</v>
      </c>
      <c r="C32" s="135"/>
      <c r="D32" s="136"/>
      <c r="E32" s="137"/>
      <c r="F32" s="130"/>
      <c r="G32" s="130"/>
      <c r="H32" s="130"/>
      <c r="I32" s="131"/>
      <c r="J32" s="132"/>
      <c r="K32" s="133"/>
      <c r="L32" s="26"/>
      <c r="M32" s="3"/>
    </row>
    <row r="33" spans="1:16" ht="11.45" hidden="1" customHeight="1" x14ac:dyDescent="0.2">
      <c r="A33" s="5"/>
      <c r="B33" s="25" t="s">
        <v>43</v>
      </c>
      <c r="C33" s="127"/>
      <c r="D33" s="128"/>
      <c r="E33" s="129"/>
      <c r="F33" s="130"/>
      <c r="G33" s="130"/>
      <c r="H33" s="130"/>
      <c r="I33" s="131"/>
      <c r="J33" s="132"/>
      <c r="K33" s="133"/>
      <c r="L33" s="26"/>
      <c r="M33" s="3"/>
    </row>
    <row r="34" spans="1:16" ht="11.45" hidden="1" customHeight="1" x14ac:dyDescent="0.2">
      <c r="A34" s="5"/>
      <c r="B34" s="25" t="s">
        <v>44</v>
      </c>
      <c r="C34" s="127"/>
      <c r="D34" s="128"/>
      <c r="E34" s="129"/>
      <c r="F34" s="130"/>
      <c r="G34" s="130"/>
      <c r="H34" s="130"/>
      <c r="I34" s="131"/>
      <c r="J34" s="132"/>
      <c r="K34" s="133"/>
      <c r="L34" s="26"/>
      <c r="M34" s="3"/>
    </row>
    <row r="35" spans="1:16" ht="11.45" hidden="1" customHeight="1" x14ac:dyDescent="0.2">
      <c r="A35" s="5"/>
      <c r="B35" s="25" t="s">
        <v>45</v>
      </c>
      <c r="C35" s="127"/>
      <c r="D35" s="128"/>
      <c r="E35" s="129"/>
      <c r="F35" s="130"/>
      <c r="G35" s="130"/>
      <c r="H35" s="130"/>
      <c r="I35" s="131"/>
      <c r="J35" s="132"/>
      <c r="K35" s="133"/>
      <c r="L35" s="26"/>
      <c r="M35" s="3"/>
    </row>
    <row r="36" spans="1:16" ht="12" hidden="1" customHeight="1" x14ac:dyDescent="0.2">
      <c r="A36" s="5"/>
      <c r="B36" s="25" t="s">
        <v>46</v>
      </c>
      <c r="C36" s="127"/>
      <c r="D36" s="128"/>
      <c r="E36" s="129"/>
      <c r="F36" s="130"/>
      <c r="G36" s="130"/>
      <c r="H36" s="130"/>
      <c r="I36" s="131"/>
      <c r="J36" s="132"/>
      <c r="K36" s="133"/>
      <c r="L36" s="26"/>
      <c r="M36" s="3"/>
    </row>
    <row r="37" spans="1:16" ht="12" hidden="1" customHeight="1" x14ac:dyDescent="0.2">
      <c r="A37" s="5"/>
      <c r="B37" s="25" t="s">
        <v>47</v>
      </c>
      <c r="C37" s="127"/>
      <c r="D37" s="128"/>
      <c r="E37" s="129"/>
      <c r="F37" s="130"/>
      <c r="G37" s="130"/>
      <c r="H37" s="130"/>
      <c r="I37" s="131"/>
      <c r="J37" s="132"/>
      <c r="K37" s="133"/>
      <c r="L37" s="26"/>
      <c r="M37" s="3"/>
    </row>
    <row r="38" spans="1:16" ht="12" hidden="1" x14ac:dyDescent="0.2">
      <c r="A38" s="5"/>
      <c r="B38" s="25" t="s">
        <v>48</v>
      </c>
      <c r="C38" s="135"/>
      <c r="D38" s="136"/>
      <c r="E38" s="137"/>
      <c r="F38" s="130"/>
      <c r="G38" s="130"/>
      <c r="H38" s="130"/>
      <c r="I38" s="131"/>
      <c r="J38" s="132"/>
      <c r="K38" s="133"/>
      <c r="L38" s="26"/>
      <c r="M38" s="3"/>
    </row>
    <row r="39" spans="1:16" ht="12" x14ac:dyDescent="0.2">
      <c r="A39" s="5"/>
      <c r="B39" s="5"/>
      <c r="C39" s="3"/>
      <c r="D39" s="3"/>
      <c r="E39" s="3"/>
      <c r="F39" s="5"/>
      <c r="G39" s="5"/>
      <c r="H39" s="5"/>
      <c r="I39" s="5"/>
      <c r="J39" s="5"/>
      <c r="K39" s="5"/>
      <c r="L39" s="3"/>
      <c r="M39" s="3"/>
    </row>
    <row r="40" spans="1:16" ht="41.1" customHeight="1" x14ac:dyDescent="0.2">
      <c r="A40" s="5"/>
      <c r="B40" s="5"/>
      <c r="C40" s="142" t="s">
        <v>49</v>
      </c>
      <c r="D40" s="142"/>
      <c r="E40" s="5"/>
      <c r="F40" s="142" t="s">
        <v>53</v>
      </c>
      <c r="G40" s="142"/>
      <c r="H40" s="5"/>
      <c r="I40" s="142" t="s">
        <v>50</v>
      </c>
      <c r="J40" s="142"/>
      <c r="K40" s="5"/>
      <c r="L40" s="142" t="s">
        <v>51</v>
      </c>
      <c r="M40" s="142"/>
      <c r="N40" s="142" t="s">
        <v>52</v>
      </c>
      <c r="O40" s="142"/>
      <c r="P40" s="9" t="s">
        <v>53</v>
      </c>
    </row>
    <row r="41" spans="1:16" ht="5.25" customHeight="1" x14ac:dyDescent="0.2">
      <c r="A41" s="5"/>
      <c r="B41" s="5"/>
      <c r="C41" s="5"/>
      <c r="D41" s="5"/>
      <c r="E41" s="5"/>
      <c r="F41" s="5"/>
      <c r="G41" s="5"/>
      <c r="H41" s="5"/>
      <c r="I41" s="5"/>
      <c r="J41" s="5"/>
      <c r="K41" s="5"/>
      <c r="L41" s="5"/>
      <c r="M41" s="5"/>
      <c r="N41" s="5"/>
      <c r="P41" s="5"/>
    </row>
    <row r="42" spans="1:16" ht="24.6" customHeight="1" x14ac:dyDescent="0.2">
      <c r="A42" s="5"/>
      <c r="B42" s="5"/>
      <c r="C42" s="153" t="s">
        <v>54</v>
      </c>
      <c r="D42" s="155"/>
      <c r="E42" s="5"/>
      <c r="F42" s="156" t="s">
        <v>58</v>
      </c>
      <c r="G42" s="156"/>
      <c r="H42" s="5"/>
      <c r="I42" s="156" t="s">
        <v>157</v>
      </c>
      <c r="J42" s="156"/>
      <c r="K42" s="5"/>
      <c r="L42" s="74" t="s">
        <v>56</v>
      </c>
      <c r="M42" s="5"/>
      <c r="N42" s="74" t="s">
        <v>57</v>
      </c>
      <c r="P42" s="74" t="s">
        <v>58</v>
      </c>
    </row>
    <row r="43" spans="1:16" ht="11.45" customHeight="1" x14ac:dyDescent="0.2">
      <c r="A43" s="5"/>
      <c r="B43" s="5"/>
      <c r="C43" s="139" t="str">
        <f>Informationscluster!B4</f>
        <v>Arbeitsergebnisse</v>
      </c>
      <c r="D43" s="140"/>
      <c r="E43" s="5"/>
      <c r="F43" s="134" t="s">
        <v>378</v>
      </c>
      <c r="G43" s="134"/>
      <c r="H43" s="5"/>
      <c r="I43" s="134" t="str">
        <f>'Ressourcen DB'!D2</f>
        <v xml:space="preserve">Büro Fachgebiet Raumfahrttechnik </v>
      </c>
      <c r="J43" s="134"/>
      <c r="K43" s="5"/>
      <c r="L43" s="72" t="str">
        <f>'Ressourcen DB'!C2</f>
        <v>Gebäude F Fachgebiet Raumfahrttechnik</v>
      </c>
      <c r="M43" s="5"/>
      <c r="N43" s="72" t="str">
        <f>'Ressourcen DB'!E2</f>
        <v>Mobiler Arbeitsplatz</v>
      </c>
      <c r="P43" s="72">
        <f>'Ressourcen DB'!F2</f>
        <v>0</v>
      </c>
    </row>
    <row r="44" spans="1:16" ht="11.45" customHeight="1" x14ac:dyDescent="0.2">
      <c r="A44" s="5"/>
      <c r="B44" s="5"/>
      <c r="C44" s="139" t="str">
        <f>Informationscluster!B5</f>
        <v>Projektdokumentation</v>
      </c>
      <c r="D44" s="140"/>
      <c r="E44" s="5"/>
      <c r="F44" s="134" t="s">
        <v>372</v>
      </c>
      <c r="G44" s="134"/>
      <c r="H44" s="5"/>
      <c r="I44" s="134" t="str">
        <f>'Ressourcen DB'!D3</f>
        <v>Nano Satellitennitegrationslabor</v>
      </c>
      <c r="J44" s="134"/>
      <c r="K44" s="5"/>
      <c r="L44" s="72" t="str">
        <f>'Ressourcen DB'!C3</f>
        <v>Transportfahrzeug</v>
      </c>
      <c r="M44" s="5"/>
      <c r="N44" s="72" t="str">
        <f>'Ressourcen DB'!E3</f>
        <v>Scanner (Dokument)</v>
      </c>
      <c r="P44" s="72">
        <f>'Ressourcen DB'!F3</f>
        <v>0</v>
      </c>
    </row>
    <row r="45" spans="1:16" ht="11.45" customHeight="1" x14ac:dyDescent="0.2">
      <c r="A45" s="5"/>
      <c r="B45" s="5"/>
      <c r="C45" s="139" t="str">
        <f>Informationscluster!B6</f>
        <v>IT-System- und Dokumentenmanagement</v>
      </c>
      <c r="D45" s="140"/>
      <c r="E45" s="5"/>
      <c r="F45" s="134" t="s">
        <v>373</v>
      </c>
      <c r="G45" s="134"/>
      <c r="H45" s="5"/>
      <c r="I45" s="134" t="str">
        <f>'Ressourcen DB'!D4</f>
        <v>Rack/Transportcontainer</v>
      </c>
      <c r="J45" s="134"/>
      <c r="K45" s="5"/>
      <c r="L45" s="72" t="str">
        <f>'Ressourcen DB'!C4</f>
        <v>Launch-Center</v>
      </c>
      <c r="M45" s="5"/>
      <c r="N45" s="72" t="str">
        <f>'Ressourcen DB'!E4</f>
        <v>Drucker (normal)</v>
      </c>
      <c r="P45" s="72">
        <f>'Ressourcen DB'!F4</f>
        <v>0</v>
      </c>
    </row>
    <row r="46" spans="1:16" ht="11.45" customHeight="1" x14ac:dyDescent="0.2">
      <c r="A46" s="5"/>
      <c r="B46" s="5"/>
      <c r="C46" s="139" t="str">
        <f>Informationscluster!B7</f>
        <v>Altprojektdatenbank</v>
      </c>
      <c r="D46" s="140"/>
      <c r="E46" s="5"/>
      <c r="F46" s="134" t="s">
        <v>374</v>
      </c>
      <c r="G46" s="134"/>
      <c r="H46" s="5"/>
      <c r="I46" s="134" t="str">
        <f>'Ressourcen DB'!D5</f>
        <v>Satellitenintegration Launchcenter</v>
      </c>
      <c r="J46" s="134"/>
      <c r="K46" s="5"/>
      <c r="L46" s="72" t="str">
        <f>'Ressourcen DB'!C5</f>
        <v>Weltraum</v>
      </c>
      <c r="M46" s="5"/>
      <c r="N46" s="72" t="str">
        <f>'Ressourcen DB'!E5</f>
        <v>Laptop</v>
      </c>
      <c r="P46" s="72">
        <f>'Ressourcen DB'!F5</f>
        <v>0</v>
      </c>
    </row>
    <row r="47" spans="1:16" ht="11.45" customHeight="1" x14ac:dyDescent="0.2">
      <c r="A47" s="5"/>
      <c r="B47" s="5"/>
      <c r="C47" s="139" t="str">
        <f>Informationscluster!B8</f>
        <v>Projektfeinplanung (Arbeitspakete - Git Tickets)</v>
      </c>
      <c r="D47" s="140"/>
      <c r="E47" s="5"/>
      <c r="F47" s="134" t="s">
        <v>375</v>
      </c>
      <c r="G47" s="134"/>
      <c r="H47" s="5"/>
      <c r="I47" s="134" t="str">
        <f>'Ressourcen DB'!D6</f>
        <v>Satellit</v>
      </c>
      <c r="J47" s="134"/>
      <c r="K47" s="5"/>
      <c r="L47" s="72">
        <f>'Ressourcen DB'!C6</f>
        <v>0</v>
      </c>
      <c r="M47" s="5"/>
      <c r="N47" s="72" t="str">
        <f>'Ressourcen DB'!E6</f>
        <v>Router/Switch</v>
      </c>
      <c r="P47" s="72">
        <f>'Ressourcen DB'!F6</f>
        <v>0</v>
      </c>
    </row>
    <row r="48" spans="1:16" ht="11.45" customHeight="1" x14ac:dyDescent="0.2">
      <c r="A48" s="5"/>
      <c r="B48" s="5"/>
      <c r="C48" s="139" t="str">
        <f>Informationscluster!B9</f>
        <v>Projektgrobplanung</v>
      </c>
      <c r="D48" s="140"/>
      <c r="E48" s="5"/>
      <c r="F48" s="134" t="s">
        <v>376</v>
      </c>
      <c r="G48" s="134"/>
      <c r="H48" s="5"/>
      <c r="I48" s="134">
        <f>'Ressourcen DB'!D7</f>
        <v>0</v>
      </c>
      <c r="J48" s="134"/>
      <c r="K48" s="5"/>
      <c r="L48" s="72">
        <f>'Ressourcen DB'!C7</f>
        <v>0</v>
      </c>
      <c r="M48" s="5"/>
      <c r="N48" s="72">
        <f>'Ressourcen DB'!E7</f>
        <v>0</v>
      </c>
      <c r="P48" s="72">
        <f>'Ressourcen DB'!F7</f>
        <v>0</v>
      </c>
    </row>
    <row r="49" spans="1:17" ht="11.45" customHeight="1" x14ac:dyDescent="0.2">
      <c r="A49" s="5"/>
      <c r="B49" s="5"/>
      <c r="C49" s="139" t="str">
        <f>Informationscluster!B10</f>
        <v>Rechnungsmanagement</v>
      </c>
      <c r="D49" s="140"/>
      <c r="E49" s="5"/>
      <c r="F49" s="134" t="s">
        <v>377</v>
      </c>
      <c r="G49" s="134"/>
      <c r="H49" s="5"/>
      <c r="I49" s="134">
        <f>'Ressourcen DB'!D8</f>
        <v>0</v>
      </c>
      <c r="J49" s="134"/>
      <c r="K49" s="5"/>
      <c r="L49" s="72">
        <f>'Ressourcen DB'!C8</f>
        <v>0</v>
      </c>
      <c r="M49" s="5"/>
      <c r="N49" s="72">
        <f>'Ressourcen DB'!E8</f>
        <v>0</v>
      </c>
      <c r="P49" s="72">
        <f>'Ressourcen DB'!F8</f>
        <v>0</v>
      </c>
    </row>
    <row r="50" spans="1:17" ht="11.45" customHeight="1" x14ac:dyDescent="0.2">
      <c r="A50" s="5"/>
      <c r="B50" s="5"/>
      <c r="C50" s="139" t="str">
        <f>Informationscluster!B11</f>
        <v>Projektbasierte Risikoanalyse</v>
      </c>
      <c r="D50" s="140"/>
      <c r="E50" s="5"/>
      <c r="F50" s="134"/>
      <c r="G50" s="134"/>
      <c r="H50" s="5"/>
      <c r="I50" s="134">
        <f>'Ressourcen DB'!D9</f>
        <v>0</v>
      </c>
      <c r="J50" s="134"/>
      <c r="K50" s="5"/>
      <c r="L50" s="72">
        <f>'Ressourcen DB'!C9</f>
        <v>0</v>
      </c>
      <c r="M50" s="5"/>
      <c r="N50" s="72">
        <f>'Ressourcen DB'!E9</f>
        <v>0</v>
      </c>
      <c r="P50" s="72">
        <f>'Ressourcen DB'!F9</f>
        <v>0</v>
      </c>
    </row>
    <row r="51" spans="1:17" ht="11.45" customHeight="1" x14ac:dyDescent="0.2">
      <c r="A51" s="5"/>
      <c r="B51" s="5"/>
      <c r="C51" s="139" t="str">
        <f>Informationscluster!B12</f>
        <v>Wiki Wissensdatenbank</v>
      </c>
      <c r="D51" s="140"/>
      <c r="E51" s="5"/>
      <c r="F51" s="134"/>
      <c r="G51" s="134"/>
      <c r="H51" s="5"/>
      <c r="I51" s="134">
        <f>'Ressourcen DB'!D10</f>
        <v>0</v>
      </c>
      <c r="J51" s="134"/>
      <c r="K51" s="5"/>
      <c r="L51" s="72">
        <f>'Ressourcen DB'!C10</f>
        <v>0</v>
      </c>
      <c r="M51" s="5"/>
      <c r="N51" s="72">
        <f>'Ressourcen DB'!E10</f>
        <v>0</v>
      </c>
      <c r="P51" s="72">
        <f>'Ressourcen DB'!F10</f>
        <v>0</v>
      </c>
    </row>
    <row r="52" spans="1:17" ht="11.45" customHeight="1" x14ac:dyDescent="0.2">
      <c r="A52" s="5"/>
      <c r="B52" s="5"/>
      <c r="C52" s="139" t="str">
        <f>Informationscluster!B13</f>
        <v>Source Code</v>
      </c>
      <c r="D52" s="140"/>
      <c r="E52" s="5"/>
      <c r="F52" s="134"/>
      <c r="G52" s="134"/>
      <c r="H52" s="5"/>
      <c r="I52" s="134">
        <f>'Ressourcen DB'!D11</f>
        <v>0</v>
      </c>
      <c r="J52" s="134"/>
      <c r="K52" s="5"/>
      <c r="L52" s="72">
        <f>'Ressourcen DB'!C11</f>
        <v>0</v>
      </c>
      <c r="M52" s="5"/>
      <c r="N52" s="72">
        <f>'Ressourcen DB'!E11</f>
        <v>0</v>
      </c>
      <c r="P52" s="72">
        <f>'Ressourcen DB'!F11</f>
        <v>0</v>
      </c>
    </row>
    <row r="53" spans="1:17" ht="11.45" customHeight="1" x14ac:dyDescent="0.2">
      <c r="A53" s="5"/>
      <c r="B53" s="5"/>
      <c r="C53" s="139" t="str">
        <f>Informationscluster!B14</f>
        <v>Missionsdaten</v>
      </c>
      <c r="D53" s="140"/>
      <c r="E53" s="5"/>
      <c r="F53" s="134"/>
      <c r="G53" s="134"/>
      <c r="H53" s="5"/>
      <c r="I53" s="134">
        <f>'Ressourcen DB'!D12</f>
        <v>0</v>
      </c>
      <c r="J53" s="134"/>
      <c r="K53" s="5"/>
      <c r="L53" s="72">
        <f>'Ressourcen DB'!C12</f>
        <v>0</v>
      </c>
      <c r="M53" s="5"/>
      <c r="N53" s="72">
        <f>'Ressourcen DB'!E12</f>
        <v>0</v>
      </c>
      <c r="P53" s="72">
        <f>'Ressourcen DB'!F12</f>
        <v>0</v>
      </c>
    </row>
    <row r="54" spans="1:17" ht="11.45" customHeight="1" x14ac:dyDescent="0.2">
      <c r="A54" s="5"/>
      <c r="B54" s="5"/>
      <c r="C54" s="139" t="str">
        <f>Informationscluster!B15</f>
        <v>Schlüsselmaterial Mission</v>
      </c>
      <c r="D54" s="140"/>
      <c r="E54" s="5"/>
      <c r="F54" s="134"/>
      <c r="G54" s="134"/>
      <c r="H54" s="5"/>
      <c r="I54" s="134">
        <f>'Ressourcen DB'!D13</f>
        <v>0</v>
      </c>
      <c r="J54" s="134"/>
      <c r="K54" s="5"/>
      <c r="L54" s="72">
        <f>'Ressourcen DB'!C13</f>
        <v>0</v>
      </c>
      <c r="M54" s="5"/>
      <c r="N54" s="72">
        <f>'Ressourcen DB'!E13</f>
        <v>0</v>
      </c>
      <c r="P54" s="72">
        <f>'Ressourcen DB'!F13</f>
        <v>0</v>
      </c>
    </row>
    <row r="55" spans="1:17" ht="11.45" customHeight="1" x14ac:dyDescent="0.2">
      <c r="A55" s="5"/>
      <c r="B55" s="5"/>
      <c r="C55" s="139">
        <f>Informationscluster!B16</f>
        <v>0</v>
      </c>
      <c r="D55" s="140"/>
      <c r="E55" s="5"/>
      <c r="F55" s="134"/>
      <c r="G55" s="134"/>
      <c r="H55" s="5"/>
      <c r="I55" s="134">
        <f>'Ressourcen DB'!D14</f>
        <v>0</v>
      </c>
      <c r="J55" s="134"/>
      <c r="K55" s="5"/>
      <c r="L55" s="72">
        <f>'Ressourcen DB'!C14</f>
        <v>0</v>
      </c>
      <c r="M55" s="5"/>
      <c r="N55" s="72">
        <f>'Ressourcen DB'!E14</f>
        <v>0</v>
      </c>
      <c r="P55" s="72">
        <f>'Ressourcen DB'!F14</f>
        <v>0</v>
      </c>
    </row>
    <row r="56" spans="1:17" ht="11.45" customHeight="1" x14ac:dyDescent="0.2">
      <c r="A56" s="5"/>
      <c r="B56" s="5"/>
      <c r="C56" s="139">
        <f>Informationscluster!B17</f>
        <v>0</v>
      </c>
      <c r="D56" s="140"/>
      <c r="E56" s="5"/>
      <c r="F56" s="134"/>
      <c r="G56" s="134"/>
      <c r="H56" s="5"/>
      <c r="I56" s="134">
        <f>'Ressourcen DB'!D15</f>
        <v>0</v>
      </c>
      <c r="J56" s="134"/>
      <c r="K56" s="5"/>
      <c r="L56" s="72">
        <f>'Ressourcen DB'!C15</f>
        <v>0</v>
      </c>
      <c r="M56" s="5"/>
      <c r="N56" s="72">
        <f>'Ressourcen DB'!E15</f>
        <v>0</v>
      </c>
      <c r="P56" s="72">
        <f>'Ressourcen DB'!F15</f>
        <v>0</v>
      </c>
    </row>
    <row r="57" spans="1:17" ht="11.45" customHeight="1" x14ac:dyDescent="0.2">
      <c r="A57" s="5"/>
      <c r="B57" s="5"/>
      <c r="C57" s="139">
        <f>Informationscluster!B18</f>
        <v>0</v>
      </c>
      <c r="D57" s="140"/>
      <c r="E57" s="5"/>
      <c r="F57" s="134"/>
      <c r="G57" s="134"/>
      <c r="H57" s="5"/>
      <c r="I57" s="134">
        <f>'Ressourcen DB'!D16</f>
        <v>0</v>
      </c>
      <c r="J57" s="134"/>
      <c r="K57" s="5"/>
      <c r="L57" s="72">
        <f>'Ressourcen DB'!C16</f>
        <v>0</v>
      </c>
      <c r="M57" s="5"/>
      <c r="N57" s="72">
        <f>'Ressourcen DB'!E16</f>
        <v>0</v>
      </c>
      <c r="P57" s="72">
        <f>'Ressourcen DB'!F16</f>
        <v>0</v>
      </c>
    </row>
    <row r="58" spans="1:17" ht="11.45" hidden="1" customHeight="1" x14ac:dyDescent="0.2">
      <c r="A58" s="5"/>
      <c r="B58" s="5"/>
      <c r="C58" s="139">
        <f>Informationscluster!B19</f>
        <v>0</v>
      </c>
      <c r="D58" s="140"/>
      <c r="E58" s="5"/>
      <c r="F58" s="134"/>
      <c r="G58" s="134"/>
      <c r="H58" s="5"/>
      <c r="I58" s="134">
        <f>'Ressourcen DB'!D17</f>
        <v>0</v>
      </c>
      <c r="J58" s="134"/>
      <c r="K58" s="5"/>
      <c r="L58" s="72">
        <f>'Ressourcen DB'!C17</f>
        <v>0</v>
      </c>
      <c r="M58" s="5"/>
      <c r="N58" s="72">
        <f>'Ressourcen DB'!E17</f>
        <v>0</v>
      </c>
      <c r="P58" s="72">
        <f>'Ressourcen DB'!F17</f>
        <v>0</v>
      </c>
    </row>
    <row r="59" spans="1:17" ht="11.45" hidden="1" customHeight="1" x14ac:dyDescent="0.2">
      <c r="A59" s="5"/>
      <c r="B59" s="5"/>
      <c r="C59" s="139">
        <f>Informationscluster!B20</f>
        <v>0</v>
      </c>
      <c r="D59" s="140"/>
      <c r="E59" s="5"/>
      <c r="F59" s="134"/>
      <c r="G59" s="134"/>
      <c r="H59" s="5"/>
      <c r="I59" s="134">
        <f>'Ressourcen DB'!D18</f>
        <v>0</v>
      </c>
      <c r="J59" s="134"/>
      <c r="K59" s="5"/>
      <c r="L59" s="72">
        <f>'Ressourcen DB'!C18</f>
        <v>0</v>
      </c>
      <c r="M59" s="5"/>
      <c r="N59" s="72">
        <f>'Ressourcen DB'!E18</f>
        <v>0</v>
      </c>
      <c r="P59" s="72">
        <f>'Ressourcen DB'!F18</f>
        <v>0</v>
      </c>
    </row>
    <row r="60" spans="1:17" ht="11.45" hidden="1" customHeight="1" x14ac:dyDescent="0.2">
      <c r="A60" s="5"/>
      <c r="B60" s="5"/>
      <c r="C60" s="139">
        <f>Informationscluster!B21</f>
        <v>0</v>
      </c>
      <c r="D60" s="140"/>
      <c r="E60" s="5"/>
      <c r="F60" s="134"/>
      <c r="G60" s="134"/>
      <c r="H60" s="5"/>
      <c r="I60" s="134">
        <f>'Ressourcen DB'!D19</f>
        <v>0</v>
      </c>
      <c r="J60" s="134"/>
      <c r="K60" s="5"/>
      <c r="L60" s="72">
        <f>'Ressourcen DB'!C19</f>
        <v>0</v>
      </c>
      <c r="M60" s="5"/>
      <c r="N60" s="72">
        <f>'Ressourcen DB'!E19</f>
        <v>0</v>
      </c>
      <c r="P60" s="72">
        <f>'Ressourcen DB'!F19</f>
        <v>0</v>
      </c>
    </row>
    <row r="61" spans="1:17" ht="11.45" hidden="1" customHeight="1" x14ac:dyDescent="0.2">
      <c r="A61" s="5"/>
      <c r="B61" s="5"/>
      <c r="C61" s="139">
        <f>Informationscluster!B22</f>
        <v>0</v>
      </c>
      <c r="D61" s="140"/>
      <c r="E61" s="5"/>
      <c r="F61" s="134"/>
      <c r="G61" s="134"/>
      <c r="H61" s="5"/>
      <c r="I61" s="134">
        <f>'Ressourcen DB'!D20</f>
        <v>0</v>
      </c>
      <c r="J61" s="134"/>
      <c r="K61" s="5"/>
      <c r="L61" s="72">
        <f>'Ressourcen DB'!C20</f>
        <v>0</v>
      </c>
      <c r="M61" s="5"/>
      <c r="N61" s="72">
        <f>'Ressourcen DB'!E20</f>
        <v>0</v>
      </c>
      <c r="P61" s="72">
        <f>'Ressourcen DB'!F20</f>
        <v>0</v>
      </c>
    </row>
    <row r="62" spans="1:17" ht="11.45" hidden="1" customHeight="1" x14ac:dyDescent="0.2">
      <c r="A62" s="5"/>
      <c r="B62" s="5"/>
      <c r="C62" s="139">
        <f>Informationscluster!B23</f>
        <v>0</v>
      </c>
      <c r="D62" s="140"/>
      <c r="E62" s="5"/>
      <c r="F62" s="134"/>
      <c r="G62" s="134"/>
      <c r="H62" s="5"/>
      <c r="I62" s="134">
        <f>'Ressourcen DB'!D21</f>
        <v>0</v>
      </c>
      <c r="J62" s="134"/>
      <c r="K62" s="5"/>
      <c r="L62" s="72">
        <f>'Ressourcen DB'!C21</f>
        <v>0</v>
      </c>
      <c r="M62" s="5"/>
      <c r="N62" s="72">
        <f>'Ressourcen DB'!E21</f>
        <v>0</v>
      </c>
      <c r="O62" s="101"/>
      <c r="P62" s="72">
        <f>'Ressourcen DB'!F21</f>
        <v>0</v>
      </c>
      <c r="Q62" s="101"/>
    </row>
    <row r="63" spans="1:17" ht="11.45" hidden="1" customHeight="1" x14ac:dyDescent="0.2">
      <c r="A63" s="5"/>
      <c r="B63" s="5"/>
      <c r="C63" s="139">
        <f>Informationscluster!B24</f>
        <v>0</v>
      </c>
      <c r="D63" s="140"/>
      <c r="E63" s="5"/>
      <c r="F63" s="134"/>
      <c r="G63" s="134"/>
      <c r="H63" s="5"/>
      <c r="I63" s="134">
        <f>'Ressourcen DB'!D22</f>
        <v>0</v>
      </c>
      <c r="J63" s="134"/>
      <c r="K63" s="5"/>
      <c r="L63" s="72">
        <f>'Ressourcen DB'!C22</f>
        <v>0</v>
      </c>
      <c r="M63" s="5"/>
      <c r="N63" s="72">
        <f>'Ressourcen DB'!E22</f>
        <v>0</v>
      </c>
      <c r="O63" s="73"/>
      <c r="P63" s="72">
        <f>'Ressourcen DB'!F22</f>
        <v>0</v>
      </c>
      <c r="Q63" s="73"/>
    </row>
    <row r="64" spans="1:17" ht="11.45" hidden="1" customHeight="1" x14ac:dyDescent="0.2">
      <c r="A64" s="5"/>
      <c r="B64" s="5"/>
      <c r="C64" s="139">
        <f>Informationscluster!B25</f>
        <v>0</v>
      </c>
      <c r="D64" s="140"/>
      <c r="E64" s="5"/>
      <c r="F64" s="134"/>
      <c r="G64" s="134"/>
      <c r="H64" s="5"/>
      <c r="I64" s="134">
        <f>'Ressourcen DB'!D23</f>
        <v>0</v>
      </c>
      <c r="J64" s="134"/>
      <c r="K64" s="5"/>
      <c r="L64" s="72">
        <f>'Ressourcen DB'!C23</f>
        <v>0</v>
      </c>
      <c r="M64" s="5"/>
      <c r="N64" s="72">
        <f>'Ressourcen DB'!E23</f>
        <v>0</v>
      </c>
      <c r="O64" s="73"/>
      <c r="P64" s="72">
        <f>'Ressourcen DB'!F23</f>
        <v>0</v>
      </c>
      <c r="Q64" s="73"/>
    </row>
    <row r="65" spans="1:17" ht="11.45" hidden="1" customHeight="1" x14ac:dyDescent="0.2">
      <c r="A65" s="5"/>
      <c r="B65" s="5"/>
      <c r="C65" s="139">
        <f>Informationscluster!B26</f>
        <v>0</v>
      </c>
      <c r="D65" s="140"/>
      <c r="E65" s="5"/>
      <c r="F65" s="134"/>
      <c r="G65" s="134"/>
      <c r="H65" s="5"/>
      <c r="I65" s="134">
        <f>'Ressourcen DB'!D24</f>
        <v>0</v>
      </c>
      <c r="J65" s="134"/>
      <c r="K65" s="5"/>
      <c r="L65" s="72">
        <f>'Ressourcen DB'!C24</f>
        <v>0</v>
      </c>
      <c r="M65" s="5"/>
      <c r="N65" s="72">
        <f>'Ressourcen DB'!E24</f>
        <v>0</v>
      </c>
      <c r="O65" s="73"/>
      <c r="P65" s="72">
        <f>'Ressourcen DB'!F24</f>
        <v>0</v>
      </c>
      <c r="Q65" s="73"/>
    </row>
    <row r="66" spans="1:17" ht="11.45" hidden="1" customHeight="1" x14ac:dyDescent="0.2">
      <c r="A66" s="5"/>
      <c r="B66" s="5"/>
      <c r="C66" s="139">
        <f>Informationscluster!B27</f>
        <v>0</v>
      </c>
      <c r="D66" s="140"/>
      <c r="E66" s="5"/>
      <c r="F66" s="134"/>
      <c r="G66" s="134"/>
      <c r="H66" s="5"/>
      <c r="I66" s="134">
        <f>'Ressourcen DB'!D25</f>
        <v>0</v>
      </c>
      <c r="J66" s="134"/>
      <c r="K66" s="5"/>
      <c r="L66" s="72">
        <f>'Ressourcen DB'!C25</f>
        <v>0</v>
      </c>
      <c r="M66" s="5"/>
      <c r="N66" s="72">
        <f>'Ressourcen DB'!E25</f>
        <v>0</v>
      </c>
      <c r="O66" s="73"/>
      <c r="P66" s="72">
        <f>'Ressourcen DB'!F25</f>
        <v>0</v>
      </c>
      <c r="Q66" s="73"/>
    </row>
    <row r="67" spans="1:17" ht="11.45" hidden="1" customHeight="1" x14ac:dyDescent="0.2">
      <c r="A67" s="5"/>
      <c r="B67" s="5"/>
      <c r="C67" s="139">
        <f>Informationscluster!B28</f>
        <v>0</v>
      </c>
      <c r="D67" s="140"/>
      <c r="E67" s="5"/>
      <c r="F67" s="134"/>
      <c r="G67" s="134"/>
      <c r="H67" s="5"/>
      <c r="I67" s="134">
        <f>'Ressourcen DB'!D26</f>
        <v>0</v>
      </c>
      <c r="J67" s="134"/>
      <c r="K67" s="5"/>
      <c r="L67" s="72">
        <f>'Ressourcen DB'!C26</f>
        <v>0</v>
      </c>
      <c r="M67" s="5"/>
      <c r="N67" s="72">
        <f>'Ressourcen DB'!E26</f>
        <v>0</v>
      </c>
      <c r="O67" s="73"/>
      <c r="P67" s="72">
        <f>'Ressourcen DB'!F26</f>
        <v>0</v>
      </c>
      <c r="Q67" s="73"/>
    </row>
    <row r="68" spans="1:17" ht="11.45" hidden="1" customHeight="1" x14ac:dyDescent="0.2">
      <c r="A68" s="5"/>
      <c r="B68" s="5"/>
      <c r="C68" s="139">
        <f>Informationscluster!B29</f>
        <v>0</v>
      </c>
      <c r="D68" s="140"/>
      <c r="E68" s="5"/>
      <c r="F68" s="134"/>
      <c r="G68" s="134"/>
      <c r="H68" s="5"/>
      <c r="I68" s="134">
        <f>'Ressourcen DB'!D27</f>
        <v>0</v>
      </c>
      <c r="J68" s="134"/>
      <c r="K68" s="5"/>
      <c r="L68" s="72">
        <f>'Ressourcen DB'!C27</f>
        <v>0</v>
      </c>
      <c r="M68" s="5"/>
      <c r="N68" s="72">
        <f>'Ressourcen DB'!E27</f>
        <v>0</v>
      </c>
      <c r="O68" s="73"/>
      <c r="P68" s="72">
        <f>'Ressourcen DB'!F27</f>
        <v>0</v>
      </c>
      <c r="Q68" s="73"/>
    </row>
    <row r="69" spans="1:17" ht="11.45" hidden="1" customHeight="1" x14ac:dyDescent="0.2">
      <c r="A69" s="5"/>
      <c r="B69" s="5"/>
      <c r="C69" s="139">
        <f>Informationscluster!B30</f>
        <v>0</v>
      </c>
      <c r="D69" s="140"/>
      <c r="E69" s="5"/>
      <c r="F69" s="134"/>
      <c r="G69" s="134"/>
      <c r="H69" s="5"/>
      <c r="I69" s="134">
        <f>'Ressourcen DB'!D28</f>
        <v>0</v>
      </c>
      <c r="J69" s="134"/>
      <c r="K69" s="5"/>
      <c r="L69" s="72">
        <f>'Ressourcen DB'!C28</f>
        <v>0</v>
      </c>
      <c r="M69" s="5"/>
      <c r="N69" s="72">
        <f>'Ressourcen DB'!E28</f>
        <v>0</v>
      </c>
      <c r="O69" s="73"/>
      <c r="P69" s="72">
        <f>'Ressourcen DB'!F28</f>
        <v>0</v>
      </c>
      <c r="Q69" s="73"/>
    </row>
    <row r="70" spans="1:17" ht="11.45" hidden="1" customHeight="1" x14ac:dyDescent="0.2">
      <c r="A70" s="5"/>
      <c r="B70" s="5"/>
      <c r="C70" s="139">
        <f>Informationscluster!B31</f>
        <v>0</v>
      </c>
      <c r="D70" s="140"/>
      <c r="E70" s="5"/>
      <c r="F70" s="134"/>
      <c r="G70" s="134"/>
      <c r="H70" s="5"/>
      <c r="I70" s="134">
        <f>'Ressourcen DB'!D29</f>
        <v>0</v>
      </c>
      <c r="J70" s="134"/>
      <c r="K70" s="5"/>
      <c r="L70" s="72">
        <f>'Ressourcen DB'!C29</f>
        <v>0</v>
      </c>
      <c r="M70" s="5"/>
      <c r="N70" s="72">
        <f>'Ressourcen DB'!E29</f>
        <v>0</v>
      </c>
      <c r="O70" s="73"/>
      <c r="P70" s="72">
        <f>'Ressourcen DB'!F29</f>
        <v>0</v>
      </c>
      <c r="Q70" s="73"/>
    </row>
    <row r="71" spans="1:17" ht="11.45" hidden="1" customHeight="1" x14ac:dyDescent="0.2">
      <c r="A71" s="5"/>
      <c r="B71" s="5"/>
      <c r="C71" s="139">
        <f>Informationscluster!B32</f>
        <v>0</v>
      </c>
      <c r="D71" s="140"/>
      <c r="E71" s="5"/>
      <c r="F71" s="134"/>
      <c r="G71" s="134"/>
      <c r="H71" s="5"/>
      <c r="I71" s="134">
        <f>'Ressourcen DB'!D30</f>
        <v>0</v>
      </c>
      <c r="J71" s="134"/>
      <c r="K71" s="5"/>
      <c r="L71" s="72">
        <f>'Ressourcen DB'!C30</f>
        <v>0</v>
      </c>
      <c r="M71" s="5"/>
      <c r="N71" s="72">
        <f>'Ressourcen DB'!E30</f>
        <v>0</v>
      </c>
      <c r="O71" s="73"/>
      <c r="P71" s="72">
        <f>'Ressourcen DB'!F30</f>
        <v>0</v>
      </c>
      <c r="Q71" s="73"/>
    </row>
    <row r="72" spans="1:17" ht="11.45" hidden="1" customHeight="1" x14ac:dyDescent="0.2">
      <c r="A72" s="5"/>
      <c r="B72" s="5"/>
      <c r="C72" s="139">
        <f>Informationscluster!B33</f>
        <v>0</v>
      </c>
      <c r="D72" s="140"/>
      <c r="E72" s="5"/>
      <c r="F72" s="134"/>
      <c r="G72" s="134"/>
      <c r="H72" s="5"/>
      <c r="I72" s="134">
        <f>'Ressourcen DB'!D31</f>
        <v>0</v>
      </c>
      <c r="J72" s="134"/>
      <c r="K72" s="5"/>
      <c r="L72" s="72">
        <f>'Ressourcen DB'!C31</f>
        <v>0</v>
      </c>
      <c r="M72" s="5"/>
      <c r="N72" s="72">
        <f>'Ressourcen DB'!E31</f>
        <v>0</v>
      </c>
      <c r="O72" s="73"/>
      <c r="P72" s="72">
        <f>'Ressourcen DB'!F31</f>
        <v>0</v>
      </c>
      <c r="Q72" s="73"/>
    </row>
    <row r="73" spans="1:17" ht="11.45" hidden="1" customHeight="1" x14ac:dyDescent="0.2">
      <c r="A73" s="5"/>
      <c r="B73" s="5"/>
      <c r="C73" s="139">
        <f>Informationscluster!B34</f>
        <v>0</v>
      </c>
      <c r="D73" s="140"/>
      <c r="E73" s="5"/>
      <c r="F73" s="134"/>
      <c r="G73" s="134"/>
      <c r="H73" s="5"/>
      <c r="I73" s="134">
        <f>'Ressourcen DB'!D32</f>
        <v>0</v>
      </c>
      <c r="J73" s="134"/>
      <c r="K73" s="5"/>
      <c r="L73" s="72">
        <f>'Ressourcen DB'!C32</f>
        <v>0</v>
      </c>
      <c r="M73" s="5"/>
      <c r="N73" s="72">
        <f>'Ressourcen DB'!E32</f>
        <v>0</v>
      </c>
      <c r="O73" s="101"/>
      <c r="P73" s="72">
        <f>'Ressourcen DB'!F32</f>
        <v>0</v>
      </c>
      <c r="Q73" s="101"/>
    </row>
    <row r="74" spans="1:17" ht="11.45" hidden="1" customHeight="1" x14ac:dyDescent="0.2">
      <c r="A74" s="5"/>
      <c r="B74" s="5"/>
      <c r="C74" s="139">
        <f>Informationscluster!B35</f>
        <v>0</v>
      </c>
      <c r="D74" s="140"/>
      <c r="E74" s="5"/>
      <c r="F74" s="134"/>
      <c r="G74" s="134"/>
      <c r="H74" s="5"/>
      <c r="I74" s="134">
        <f>'Ressourcen DB'!D33</f>
        <v>0</v>
      </c>
      <c r="J74" s="134"/>
      <c r="K74" s="5"/>
      <c r="L74" s="72">
        <f>'Ressourcen DB'!C33</f>
        <v>0</v>
      </c>
      <c r="M74" s="5"/>
      <c r="N74" s="72">
        <f>'Ressourcen DB'!E33</f>
        <v>0</v>
      </c>
      <c r="O74" s="101"/>
      <c r="P74" s="72">
        <f>'Ressourcen DB'!F33</f>
        <v>0</v>
      </c>
      <c r="Q74" s="101"/>
    </row>
    <row r="75" spans="1:17" ht="11.45" hidden="1" customHeight="1" x14ac:dyDescent="0.2">
      <c r="A75" s="5"/>
      <c r="B75" s="5"/>
      <c r="C75" s="139">
        <f>Informationscluster!B36</f>
        <v>0</v>
      </c>
      <c r="D75" s="140"/>
      <c r="E75" s="5"/>
      <c r="F75" s="134"/>
      <c r="G75" s="134"/>
      <c r="H75" s="5"/>
      <c r="I75" s="134">
        <f>'Ressourcen DB'!D34</f>
        <v>0</v>
      </c>
      <c r="J75" s="134"/>
      <c r="K75" s="5"/>
      <c r="L75" s="72">
        <f>'Ressourcen DB'!C34</f>
        <v>0</v>
      </c>
      <c r="M75" s="5"/>
      <c r="N75" s="72">
        <f>'Ressourcen DB'!E34</f>
        <v>0</v>
      </c>
      <c r="O75" s="101"/>
      <c r="P75" s="72">
        <f>'Ressourcen DB'!F34</f>
        <v>0</v>
      </c>
      <c r="Q75" s="101"/>
    </row>
    <row r="76" spans="1:17" ht="11.45" hidden="1" customHeight="1" x14ac:dyDescent="0.2">
      <c r="A76" s="5"/>
      <c r="B76" s="5"/>
      <c r="C76" s="139">
        <f>Informationscluster!B37</f>
        <v>0</v>
      </c>
      <c r="D76" s="140"/>
      <c r="E76" s="5"/>
      <c r="F76" s="134"/>
      <c r="G76" s="134"/>
      <c r="H76" s="5"/>
      <c r="I76" s="134">
        <f>'Ressourcen DB'!D35</f>
        <v>0</v>
      </c>
      <c r="J76" s="134"/>
      <c r="K76" s="5"/>
      <c r="L76" s="72">
        <f>'Ressourcen DB'!C35</f>
        <v>0</v>
      </c>
      <c r="M76" s="5"/>
      <c r="N76" s="72">
        <f>'Ressourcen DB'!E35</f>
        <v>0</v>
      </c>
      <c r="O76" s="101"/>
      <c r="P76" s="72">
        <f>'Ressourcen DB'!F35</f>
        <v>0</v>
      </c>
      <c r="Q76" s="101"/>
    </row>
    <row r="77" spans="1:17" ht="11.45" hidden="1" customHeight="1" x14ac:dyDescent="0.2">
      <c r="A77" s="5"/>
      <c r="B77" s="5"/>
      <c r="C77" s="139">
        <f>Informationscluster!B38</f>
        <v>0</v>
      </c>
      <c r="D77" s="140"/>
      <c r="E77" s="5"/>
      <c r="F77" s="134"/>
      <c r="G77" s="134"/>
      <c r="H77" s="5"/>
      <c r="I77" s="134">
        <f>'Ressourcen DB'!D36</f>
        <v>0</v>
      </c>
      <c r="J77" s="134"/>
      <c r="K77" s="5"/>
      <c r="L77" s="72">
        <f>'Ressourcen DB'!C36</f>
        <v>0</v>
      </c>
      <c r="M77" s="5"/>
      <c r="N77" s="72">
        <f>'Ressourcen DB'!E36</f>
        <v>0</v>
      </c>
      <c r="O77" s="101"/>
      <c r="P77" s="72">
        <f>'Ressourcen DB'!F36</f>
        <v>0</v>
      </c>
      <c r="Q77" s="101"/>
    </row>
    <row r="78" spans="1:17" ht="11.45" hidden="1" customHeight="1" x14ac:dyDescent="0.2">
      <c r="A78" s="5"/>
      <c r="B78" s="5"/>
      <c r="C78" s="139">
        <f>Informationscluster!B39</f>
        <v>0</v>
      </c>
      <c r="D78" s="140"/>
      <c r="E78" s="5"/>
      <c r="F78" s="134"/>
      <c r="G78" s="134"/>
      <c r="H78" s="5"/>
      <c r="I78" s="134">
        <f>'Ressourcen DB'!D37</f>
        <v>0</v>
      </c>
      <c r="J78" s="134"/>
      <c r="K78" s="5"/>
      <c r="L78" s="72">
        <f>'Ressourcen DB'!C37</f>
        <v>0</v>
      </c>
      <c r="M78" s="5"/>
      <c r="N78" s="72">
        <f>'Ressourcen DB'!E37</f>
        <v>0</v>
      </c>
      <c r="O78" s="101"/>
      <c r="P78" s="72">
        <f>'Ressourcen DB'!F37</f>
        <v>0</v>
      </c>
      <c r="Q78" s="101"/>
    </row>
    <row r="79" spans="1:17" ht="11.45" hidden="1" customHeight="1" x14ac:dyDescent="0.2">
      <c r="A79" s="5"/>
      <c r="B79" s="5"/>
      <c r="C79" s="139">
        <f>Informationscluster!B40</f>
        <v>0</v>
      </c>
      <c r="D79" s="140"/>
      <c r="E79" s="5"/>
      <c r="F79" s="134"/>
      <c r="G79" s="134"/>
      <c r="H79" s="5"/>
      <c r="I79" s="134">
        <f>'Ressourcen DB'!D38</f>
        <v>0</v>
      </c>
      <c r="J79" s="134"/>
      <c r="K79" s="5"/>
      <c r="L79" s="72">
        <f>'Ressourcen DB'!C38</f>
        <v>0</v>
      </c>
      <c r="M79" s="5"/>
      <c r="N79" s="72">
        <f>'Ressourcen DB'!E38</f>
        <v>0</v>
      </c>
      <c r="O79" s="101"/>
      <c r="P79" s="72">
        <f>'Ressourcen DB'!F38</f>
        <v>0</v>
      </c>
      <c r="Q79" s="101"/>
    </row>
    <row r="80" spans="1:17" ht="11.45" hidden="1" customHeight="1" x14ac:dyDescent="0.2">
      <c r="A80" s="5"/>
      <c r="B80" s="5"/>
      <c r="C80" s="139">
        <f>Informationscluster!B41</f>
        <v>0</v>
      </c>
      <c r="D80" s="140"/>
      <c r="E80" s="5"/>
      <c r="F80" s="134"/>
      <c r="G80" s="134"/>
      <c r="H80" s="5"/>
      <c r="I80" s="134">
        <f>'Ressourcen DB'!D39</f>
        <v>0</v>
      </c>
      <c r="J80" s="134"/>
      <c r="K80" s="5"/>
      <c r="L80" s="72">
        <f>'Ressourcen DB'!C39</f>
        <v>0</v>
      </c>
      <c r="M80" s="5"/>
      <c r="N80" s="72">
        <f>'Ressourcen DB'!E39</f>
        <v>0</v>
      </c>
      <c r="O80" s="101"/>
      <c r="P80" s="72">
        <f>'Ressourcen DB'!F39</f>
        <v>0</v>
      </c>
      <c r="Q80" s="101"/>
    </row>
    <row r="81" spans="1:17" ht="11.45" hidden="1" customHeight="1" x14ac:dyDescent="0.2">
      <c r="A81" s="5"/>
      <c r="B81" s="5"/>
      <c r="C81" s="139">
        <f>Informationscluster!B42</f>
        <v>0</v>
      </c>
      <c r="D81" s="140"/>
      <c r="E81" s="5"/>
      <c r="F81" s="134"/>
      <c r="G81" s="134"/>
      <c r="H81" s="5"/>
      <c r="I81" s="134">
        <f>'Ressourcen DB'!D40</f>
        <v>0</v>
      </c>
      <c r="J81" s="134"/>
      <c r="K81" s="5"/>
      <c r="L81" s="72">
        <f>'Ressourcen DB'!C40</f>
        <v>0</v>
      </c>
      <c r="M81" s="5"/>
      <c r="N81" s="72">
        <f>'Ressourcen DB'!E40</f>
        <v>0</v>
      </c>
      <c r="O81" s="101"/>
      <c r="P81" s="72">
        <f>'Ressourcen DB'!F40</f>
        <v>0</v>
      </c>
      <c r="Q81" s="101"/>
    </row>
    <row r="82" spans="1:17" ht="11.45" hidden="1" customHeight="1" x14ac:dyDescent="0.2">
      <c r="A82" s="5"/>
      <c r="B82" s="5"/>
      <c r="C82" s="139">
        <f>Informationscluster!B43</f>
        <v>0</v>
      </c>
      <c r="D82" s="140"/>
      <c r="E82" s="5"/>
      <c r="F82" s="134"/>
      <c r="G82" s="134"/>
      <c r="H82" s="5"/>
      <c r="I82" s="134">
        <f>'Ressourcen DB'!D41</f>
        <v>0</v>
      </c>
      <c r="J82" s="134"/>
      <c r="K82" s="5"/>
      <c r="L82" s="72">
        <f>'Ressourcen DB'!C41</f>
        <v>0</v>
      </c>
      <c r="M82" s="5"/>
      <c r="N82" s="72">
        <f>'Ressourcen DB'!E41</f>
        <v>0</v>
      </c>
      <c r="O82" s="101"/>
      <c r="P82" s="72">
        <f>'Ressourcen DB'!F41</f>
        <v>0</v>
      </c>
      <c r="Q82" s="101"/>
    </row>
    <row r="83" spans="1:17" ht="11.45" hidden="1" customHeight="1" x14ac:dyDescent="0.2">
      <c r="A83" s="5"/>
      <c r="B83" s="5"/>
      <c r="C83" s="139">
        <f>Informationscluster!B44</f>
        <v>0</v>
      </c>
      <c r="D83" s="140"/>
      <c r="E83" s="5"/>
      <c r="F83" s="134"/>
      <c r="G83" s="134"/>
      <c r="H83" s="5"/>
      <c r="I83" s="134">
        <f>'Ressourcen DB'!D42</f>
        <v>0</v>
      </c>
      <c r="J83" s="134"/>
      <c r="K83" s="5"/>
      <c r="L83" s="72">
        <f>'Ressourcen DB'!C42</f>
        <v>0</v>
      </c>
      <c r="M83" s="5"/>
      <c r="N83" s="72">
        <f>'Ressourcen DB'!E42</f>
        <v>0</v>
      </c>
      <c r="P83" s="72">
        <f>'Ressourcen DB'!F42</f>
        <v>0</v>
      </c>
    </row>
    <row r="84" spans="1:17" ht="11.45" hidden="1" customHeight="1" x14ac:dyDescent="0.2">
      <c r="A84" s="5"/>
      <c r="B84" s="5"/>
      <c r="C84" s="139">
        <f>Informationscluster!B45</f>
        <v>0</v>
      </c>
      <c r="D84" s="140"/>
      <c r="E84" s="11"/>
      <c r="F84" s="134"/>
      <c r="G84" s="134"/>
      <c r="H84" s="11"/>
      <c r="I84" s="134">
        <f>'Ressourcen DB'!D43</f>
        <v>0</v>
      </c>
      <c r="J84" s="134"/>
      <c r="K84" s="5"/>
      <c r="L84" s="72">
        <f>'Ressourcen DB'!C43</f>
        <v>0</v>
      </c>
      <c r="M84" s="5"/>
      <c r="N84" s="72">
        <f>'Ressourcen DB'!E43</f>
        <v>0</v>
      </c>
      <c r="P84" s="72">
        <f>'Ressourcen DB'!F43</f>
        <v>0</v>
      </c>
    </row>
    <row r="85" spans="1:17" ht="11.45" customHeight="1" x14ac:dyDescent="0.2">
      <c r="A85" s="5"/>
      <c r="B85" s="5"/>
      <c r="C85" s="11"/>
      <c r="D85" s="11"/>
      <c r="E85" s="11"/>
      <c r="F85" s="11"/>
      <c r="G85" s="11"/>
      <c r="H85" s="11"/>
      <c r="I85" s="11"/>
      <c r="J85" s="11"/>
      <c r="K85" s="5"/>
      <c r="L85" s="5"/>
      <c r="M85" s="5"/>
    </row>
    <row r="86" spans="1:17" ht="11.45" customHeight="1" x14ac:dyDescent="0.2">
      <c r="A86" s="5"/>
      <c r="B86" s="5"/>
      <c r="C86" s="11"/>
      <c r="D86" s="141"/>
      <c r="E86" s="141"/>
      <c r="F86" s="141"/>
      <c r="G86" s="141"/>
      <c r="H86" s="11"/>
      <c r="I86" s="141"/>
      <c r="J86" s="141"/>
      <c r="K86" s="5"/>
      <c r="L86" s="5"/>
      <c r="M86" s="5"/>
    </row>
    <row r="87" spans="1:17" ht="11.45" customHeight="1" x14ac:dyDescent="0.2">
      <c r="A87" s="5"/>
      <c r="B87" s="5"/>
      <c r="C87" s="11"/>
      <c r="D87" s="138"/>
      <c r="E87" s="138"/>
      <c r="F87" s="138"/>
      <c r="G87" s="138"/>
      <c r="H87" s="11"/>
      <c r="I87" s="138"/>
      <c r="J87" s="138"/>
      <c r="K87" s="5"/>
      <c r="L87" s="5"/>
      <c r="M87" s="5"/>
    </row>
    <row r="88" spans="1:17" ht="15" customHeight="1" x14ac:dyDescent="0.2">
      <c r="A88" s="5"/>
      <c r="B88" s="5"/>
      <c r="C88" s="11"/>
      <c r="D88" s="138"/>
      <c r="E88" s="138"/>
      <c r="F88" s="138"/>
      <c r="G88" s="138"/>
      <c r="H88" s="11"/>
      <c r="I88" s="138"/>
      <c r="J88" s="138"/>
      <c r="K88" s="5"/>
      <c r="L88" s="5"/>
      <c r="M88" s="5"/>
    </row>
    <row r="89" spans="1:17" ht="12" x14ac:dyDescent="0.2">
      <c r="A89" s="5"/>
      <c r="B89" s="5"/>
      <c r="C89" s="11"/>
      <c r="D89" s="138"/>
      <c r="E89" s="138"/>
      <c r="F89" s="138"/>
      <c r="G89" s="138"/>
      <c r="H89" s="11"/>
      <c r="I89" s="138"/>
      <c r="J89" s="138"/>
      <c r="K89" s="5"/>
      <c r="L89" s="5"/>
      <c r="M89" s="5"/>
    </row>
    <row r="90" spans="1:17" ht="12" x14ac:dyDescent="0.2">
      <c r="A90" s="5"/>
      <c r="B90" s="5"/>
      <c r="C90" s="11"/>
      <c r="D90" s="138"/>
      <c r="E90" s="138"/>
      <c r="F90" s="138"/>
      <c r="G90" s="138"/>
      <c r="H90" s="11"/>
      <c r="I90" s="138"/>
      <c r="J90" s="138"/>
      <c r="K90" s="5"/>
      <c r="L90" s="5"/>
      <c r="M90" s="5"/>
    </row>
    <row r="91" spans="1:17" ht="12" x14ac:dyDescent="0.2">
      <c r="A91" s="5"/>
      <c r="B91" s="5"/>
      <c r="C91" s="11"/>
      <c r="D91" s="138"/>
      <c r="E91" s="138"/>
      <c r="F91" s="138"/>
      <c r="G91" s="138"/>
      <c r="H91" s="11"/>
      <c r="I91" s="138"/>
      <c r="J91" s="138"/>
      <c r="K91" s="5"/>
      <c r="L91" s="5"/>
      <c r="M91" s="5"/>
    </row>
    <row r="92" spans="1:17" ht="12" x14ac:dyDescent="0.2">
      <c r="A92" s="5"/>
      <c r="B92" s="5"/>
      <c r="C92" s="11"/>
      <c r="D92" s="138"/>
      <c r="E92" s="138"/>
      <c r="F92" s="138"/>
      <c r="G92" s="138"/>
      <c r="H92" s="11"/>
      <c r="I92" s="138"/>
      <c r="J92" s="138"/>
      <c r="K92" s="5"/>
      <c r="L92" s="5"/>
      <c r="M92" s="5"/>
    </row>
    <row r="93" spans="1:17" ht="12" x14ac:dyDescent="0.2">
      <c r="A93" s="5"/>
      <c r="B93" s="5"/>
      <c r="C93" s="11"/>
      <c r="D93" s="138"/>
      <c r="E93" s="138"/>
      <c r="F93" s="138"/>
      <c r="G93" s="138"/>
      <c r="H93" s="11"/>
      <c r="I93" s="138"/>
      <c r="J93" s="138"/>
      <c r="K93" s="5"/>
      <c r="L93" s="5"/>
      <c r="M93" s="5"/>
    </row>
    <row r="94" spans="1:17" ht="12" x14ac:dyDescent="0.2">
      <c r="A94" s="5"/>
      <c r="B94" s="5"/>
      <c r="C94" s="11"/>
      <c r="D94" s="138"/>
      <c r="E94" s="138"/>
      <c r="F94" s="138"/>
      <c r="G94" s="138"/>
      <c r="H94" s="11"/>
      <c r="I94" s="138"/>
      <c r="J94" s="138"/>
      <c r="K94" s="5"/>
      <c r="L94" s="5"/>
      <c r="M94" s="5"/>
    </row>
    <row r="95" spans="1:17" ht="12" x14ac:dyDescent="0.2">
      <c r="A95" s="5"/>
      <c r="B95" s="5"/>
      <c r="C95" s="11"/>
      <c r="D95" s="138"/>
      <c r="E95" s="138"/>
      <c r="F95" s="138"/>
      <c r="G95" s="138"/>
      <c r="H95" s="11"/>
      <c r="I95" s="138"/>
      <c r="J95" s="138"/>
      <c r="K95" s="5"/>
      <c r="L95" s="5"/>
      <c r="M95" s="5"/>
    </row>
    <row r="96" spans="1:17" ht="12" x14ac:dyDescent="0.2">
      <c r="A96" s="5"/>
      <c r="B96" s="5"/>
      <c r="C96" s="11"/>
      <c r="D96" s="138"/>
      <c r="E96" s="138"/>
      <c r="F96" s="138"/>
      <c r="G96" s="138"/>
      <c r="H96" s="11"/>
      <c r="I96" s="138"/>
      <c r="J96" s="138"/>
      <c r="K96" s="5"/>
      <c r="L96" s="5"/>
      <c r="M96" s="5"/>
    </row>
    <row r="97" spans="1:13" ht="12" x14ac:dyDescent="0.2">
      <c r="A97" s="5"/>
      <c r="B97" s="5"/>
      <c r="C97" s="11"/>
      <c r="D97" s="138"/>
      <c r="E97" s="138"/>
      <c r="F97" s="138"/>
      <c r="G97" s="138"/>
      <c r="H97" s="11"/>
      <c r="I97" s="138"/>
      <c r="J97" s="138"/>
      <c r="K97" s="5"/>
      <c r="L97" s="5"/>
      <c r="M97" s="5"/>
    </row>
    <row r="98" spans="1:13" ht="12" x14ac:dyDescent="0.2">
      <c r="A98" s="5"/>
      <c r="B98" s="5"/>
      <c r="C98" s="11"/>
      <c r="D98" s="138"/>
      <c r="E98" s="138"/>
      <c r="F98" s="138"/>
      <c r="G98" s="138"/>
      <c r="H98" s="11"/>
      <c r="I98" s="138"/>
      <c r="J98" s="138"/>
      <c r="K98" s="5"/>
      <c r="L98" s="5"/>
      <c r="M98" s="5"/>
    </row>
    <row r="99" spans="1:13" ht="12" x14ac:dyDescent="0.2">
      <c r="A99" s="5"/>
      <c r="B99" s="5"/>
      <c r="C99" s="11"/>
      <c r="D99" s="138"/>
      <c r="E99" s="138"/>
      <c r="F99" s="138"/>
      <c r="G99" s="138"/>
      <c r="H99" s="11"/>
      <c r="I99" s="138"/>
      <c r="J99" s="138"/>
      <c r="K99" s="5"/>
      <c r="L99" s="5"/>
      <c r="M99" s="5"/>
    </row>
    <row r="100" spans="1:13" ht="12" x14ac:dyDescent="0.2">
      <c r="A100" s="5"/>
      <c r="B100" s="5"/>
      <c r="C100" s="11"/>
      <c r="D100" s="138"/>
      <c r="E100" s="138"/>
      <c r="F100" s="138"/>
      <c r="G100" s="138"/>
      <c r="H100" s="11"/>
      <c r="I100" s="138"/>
      <c r="J100" s="138"/>
      <c r="K100" s="5"/>
      <c r="L100" s="5"/>
      <c r="M100" s="5"/>
    </row>
    <row r="101" spans="1:13" ht="12" x14ac:dyDescent="0.2">
      <c r="A101" s="5"/>
      <c r="B101" s="5"/>
      <c r="C101" s="11"/>
      <c r="D101" s="138"/>
      <c r="E101" s="138"/>
      <c r="F101" s="138"/>
      <c r="G101" s="138"/>
      <c r="H101" s="11"/>
      <c r="I101" s="138"/>
      <c r="J101" s="138"/>
      <c r="K101" s="5"/>
      <c r="L101" s="5"/>
      <c r="M101" s="5"/>
    </row>
    <row r="102" spans="1:13" ht="12" x14ac:dyDescent="0.2">
      <c r="A102" s="5"/>
      <c r="B102" s="5"/>
      <c r="C102" s="11"/>
      <c r="D102" s="138"/>
      <c r="E102" s="138"/>
      <c r="F102" s="138"/>
      <c r="G102" s="138"/>
      <c r="H102" s="11"/>
      <c r="I102" s="138"/>
      <c r="J102" s="138"/>
      <c r="K102" s="5"/>
      <c r="L102" s="5"/>
      <c r="M102" s="5"/>
    </row>
    <row r="103" spans="1:13" ht="12" x14ac:dyDescent="0.2">
      <c r="A103" s="5"/>
      <c r="B103" s="5"/>
      <c r="C103" s="11"/>
      <c r="D103" s="10"/>
      <c r="E103" s="11"/>
      <c r="F103" s="138"/>
      <c r="G103" s="138"/>
      <c r="H103" s="11"/>
      <c r="I103" s="138"/>
      <c r="J103" s="138"/>
      <c r="K103" s="5"/>
      <c r="L103" s="5"/>
      <c r="M103" s="5"/>
    </row>
    <row r="104" spans="1:13" ht="12" x14ac:dyDescent="0.2">
      <c r="A104" s="5"/>
      <c r="B104" s="5"/>
      <c r="C104" s="11"/>
      <c r="D104" s="11"/>
      <c r="E104" s="11"/>
      <c r="F104" s="138"/>
      <c r="G104" s="138"/>
      <c r="H104" s="11"/>
      <c r="I104" s="138"/>
      <c r="J104" s="138"/>
      <c r="K104" s="5"/>
      <c r="L104" s="5"/>
      <c r="M104" s="5"/>
    </row>
    <row r="105" spans="1:13" ht="12" x14ac:dyDescent="0.2">
      <c r="A105" s="5"/>
      <c r="B105" s="5"/>
      <c r="C105" s="11"/>
      <c r="D105" s="141"/>
      <c r="E105" s="141"/>
      <c r="F105" s="138"/>
      <c r="G105" s="138"/>
      <c r="H105" s="11"/>
      <c r="I105" s="138"/>
      <c r="J105" s="138"/>
      <c r="K105" s="5"/>
      <c r="L105" s="5"/>
      <c r="M105" s="5"/>
    </row>
    <row r="106" spans="1:13" ht="12" x14ac:dyDescent="0.2">
      <c r="A106" s="5"/>
      <c r="B106" s="5"/>
      <c r="C106" s="11"/>
      <c r="D106" s="138"/>
      <c r="E106" s="138"/>
      <c r="F106" s="138"/>
      <c r="G106" s="138"/>
      <c r="H106" s="11"/>
      <c r="I106" s="138"/>
      <c r="J106" s="138"/>
      <c r="K106" s="5"/>
      <c r="L106" s="5"/>
      <c r="M106" s="5"/>
    </row>
    <row r="107" spans="1:13" ht="12" x14ac:dyDescent="0.2">
      <c r="A107" s="5"/>
      <c r="B107" s="5"/>
      <c r="C107" s="11"/>
      <c r="D107" s="138"/>
      <c r="E107" s="138"/>
      <c r="F107" s="73"/>
      <c r="G107" s="73"/>
      <c r="H107" s="11"/>
      <c r="I107" s="73"/>
      <c r="J107" s="73"/>
      <c r="K107" s="5"/>
      <c r="L107" s="5"/>
      <c r="M107" s="5"/>
    </row>
    <row r="108" spans="1:13" ht="12" x14ac:dyDescent="0.2">
      <c r="A108" s="5"/>
      <c r="B108" s="5"/>
      <c r="C108" s="11"/>
      <c r="D108" s="138"/>
      <c r="E108" s="138"/>
      <c r="F108" s="73"/>
      <c r="G108" s="73"/>
      <c r="H108" s="11"/>
      <c r="I108" s="73"/>
      <c r="J108" s="73"/>
      <c r="K108" s="5"/>
      <c r="L108" s="5"/>
      <c r="M108" s="5"/>
    </row>
    <row r="109" spans="1:13" ht="12" x14ac:dyDescent="0.2">
      <c r="A109" s="5"/>
      <c r="B109" s="5"/>
      <c r="C109" s="11"/>
      <c r="D109" s="138"/>
      <c r="E109" s="138"/>
      <c r="F109" s="73"/>
      <c r="G109" s="73"/>
      <c r="H109" s="11"/>
      <c r="I109" s="73"/>
      <c r="J109" s="73"/>
      <c r="K109" s="5"/>
      <c r="L109" s="5"/>
      <c r="M109" s="5"/>
    </row>
    <row r="110" spans="1:13" ht="12" x14ac:dyDescent="0.2">
      <c r="A110" s="5"/>
      <c r="B110" s="5"/>
      <c r="C110" s="11"/>
      <c r="D110" s="138"/>
      <c r="E110" s="138"/>
      <c r="F110" s="73"/>
      <c r="G110" s="73"/>
      <c r="H110" s="11"/>
      <c r="I110" s="73"/>
      <c r="J110" s="73"/>
      <c r="K110" s="5"/>
      <c r="L110" s="5"/>
      <c r="M110" s="5"/>
    </row>
    <row r="111" spans="1:13" ht="12" x14ac:dyDescent="0.2">
      <c r="A111" s="5"/>
      <c r="B111" s="5"/>
      <c r="C111" s="11"/>
      <c r="D111" s="138"/>
      <c r="E111" s="138"/>
      <c r="F111" s="73"/>
      <c r="G111" s="73"/>
      <c r="H111" s="11"/>
      <c r="I111" s="73"/>
      <c r="J111" s="73"/>
      <c r="K111" s="5"/>
      <c r="L111" s="5"/>
      <c r="M111" s="5"/>
    </row>
    <row r="112" spans="1:13" ht="12" x14ac:dyDescent="0.2">
      <c r="A112" s="5"/>
      <c r="B112" s="5"/>
      <c r="C112" s="11"/>
      <c r="D112" s="138"/>
      <c r="E112" s="138"/>
      <c r="F112" s="138"/>
      <c r="G112" s="138"/>
      <c r="H112" s="11"/>
      <c r="I112" s="138"/>
      <c r="J112" s="138"/>
      <c r="K112" s="5"/>
      <c r="L112" s="5"/>
      <c r="M112" s="5"/>
    </row>
    <row r="113" spans="1:13" ht="12" x14ac:dyDescent="0.2">
      <c r="A113" s="5"/>
      <c r="B113" s="5"/>
      <c r="C113" s="11"/>
      <c r="D113" s="138"/>
      <c r="E113" s="138"/>
      <c r="F113" s="5"/>
      <c r="G113" s="5"/>
      <c r="H113" s="5"/>
      <c r="I113" s="5"/>
      <c r="J113" s="5"/>
      <c r="K113" s="5"/>
      <c r="L113" s="5"/>
      <c r="M113" s="5"/>
    </row>
    <row r="114" spans="1:13" ht="12" x14ac:dyDescent="0.2">
      <c r="A114" s="5"/>
      <c r="B114" s="5"/>
      <c r="C114" s="11"/>
      <c r="D114" s="138"/>
      <c r="E114" s="138"/>
      <c r="F114" s="5"/>
      <c r="G114" s="5"/>
      <c r="H114" s="5"/>
      <c r="I114" s="5"/>
      <c r="J114" s="5"/>
      <c r="K114" s="5"/>
      <c r="L114" s="5"/>
      <c r="M114" s="5"/>
    </row>
    <row r="115" spans="1:13" ht="12" x14ac:dyDescent="0.2">
      <c r="A115" s="5"/>
      <c r="B115" s="5"/>
      <c r="C115" s="11"/>
      <c r="D115" s="138"/>
      <c r="E115" s="138"/>
      <c r="F115" s="5"/>
      <c r="G115" s="5"/>
      <c r="H115" s="5"/>
      <c r="I115" s="5"/>
      <c r="J115" s="5"/>
      <c r="K115" s="5"/>
      <c r="L115" s="5"/>
      <c r="M115" s="5"/>
    </row>
    <row r="116" spans="1:13" ht="12" x14ac:dyDescent="0.2">
      <c r="A116" s="5"/>
      <c r="B116" s="5"/>
      <c r="C116" s="11"/>
      <c r="D116" s="138"/>
      <c r="E116" s="138"/>
      <c r="F116" s="5"/>
      <c r="G116" s="5"/>
      <c r="H116" s="5"/>
      <c r="I116" s="5"/>
      <c r="J116" s="5"/>
      <c r="K116" s="5"/>
      <c r="L116" s="5"/>
      <c r="M116" s="5"/>
    </row>
    <row r="117" spans="1:13" ht="12" x14ac:dyDescent="0.2">
      <c r="A117" s="5"/>
      <c r="B117" s="5"/>
      <c r="C117" s="11"/>
      <c r="D117" s="138"/>
      <c r="E117" s="138"/>
      <c r="F117" s="5"/>
      <c r="G117" s="5"/>
      <c r="H117" s="5"/>
      <c r="I117" s="5"/>
      <c r="J117" s="5"/>
      <c r="K117" s="5"/>
      <c r="L117" s="5"/>
      <c r="M117" s="5"/>
    </row>
    <row r="118" spans="1:13" ht="12" x14ac:dyDescent="0.2">
      <c r="A118" s="5"/>
      <c r="B118" s="5"/>
      <c r="C118" s="11"/>
      <c r="D118" s="138"/>
      <c r="E118" s="138"/>
      <c r="F118" s="5"/>
      <c r="G118" s="5"/>
      <c r="H118" s="5"/>
      <c r="I118" s="5"/>
      <c r="J118" s="5"/>
      <c r="K118" s="5"/>
      <c r="L118" s="5"/>
      <c r="M118" s="5"/>
    </row>
    <row r="119" spans="1:13" ht="12" x14ac:dyDescent="0.2">
      <c r="A119" s="5"/>
      <c r="B119" s="5"/>
      <c r="C119" s="11"/>
      <c r="D119" s="138"/>
      <c r="E119" s="138"/>
      <c r="F119" s="5"/>
      <c r="H119" s="5"/>
      <c r="I119" s="5"/>
      <c r="J119" s="5"/>
      <c r="K119" s="5"/>
      <c r="L119" s="5"/>
      <c r="M119" s="5"/>
    </row>
    <row r="120" spans="1:13" ht="12" x14ac:dyDescent="0.2">
      <c r="A120" s="5"/>
      <c r="B120" s="5"/>
      <c r="C120" s="5"/>
      <c r="D120" s="5"/>
      <c r="E120" s="5"/>
      <c r="F120" s="5"/>
      <c r="G120" s="5"/>
      <c r="H120" s="5"/>
      <c r="I120" s="5"/>
      <c r="J120" s="5"/>
      <c r="K120" s="5"/>
      <c r="L120" s="5"/>
      <c r="M120" s="5"/>
    </row>
    <row r="121" spans="1:13" ht="12" x14ac:dyDescent="0.2">
      <c r="A121" s="5"/>
      <c r="B121" s="5"/>
      <c r="C121" s="5"/>
      <c r="D121" s="5"/>
      <c r="E121" s="5"/>
      <c r="F121" s="5"/>
      <c r="G121" s="5"/>
      <c r="H121" s="5"/>
      <c r="I121" s="5"/>
      <c r="J121" s="5"/>
      <c r="K121" s="5"/>
      <c r="L121" s="5"/>
      <c r="M121" s="5"/>
    </row>
    <row r="122" spans="1:13" ht="12" x14ac:dyDescent="0.2">
      <c r="A122" s="5"/>
      <c r="B122" s="5"/>
      <c r="C122" s="5"/>
      <c r="D122" s="5"/>
      <c r="E122" s="5"/>
      <c r="F122" s="5"/>
      <c r="G122" s="5"/>
      <c r="H122" s="5"/>
      <c r="I122" s="5"/>
      <c r="J122" s="5"/>
      <c r="K122" s="5"/>
      <c r="L122" s="5"/>
      <c r="M122" s="5"/>
    </row>
    <row r="123" spans="1:13" ht="12" x14ac:dyDescent="0.2">
      <c r="A123" s="5"/>
      <c r="B123" s="5"/>
      <c r="C123" s="5"/>
      <c r="D123" s="5"/>
      <c r="E123" s="5"/>
      <c r="F123" s="5"/>
      <c r="G123" s="5"/>
      <c r="H123" s="5"/>
      <c r="I123" s="5"/>
      <c r="J123" s="5"/>
      <c r="K123" s="5"/>
      <c r="L123" s="5"/>
      <c r="M123" s="5"/>
    </row>
    <row r="124" spans="1:13" ht="12" x14ac:dyDescent="0.2">
      <c r="A124" s="5"/>
      <c r="B124" s="5"/>
      <c r="C124" s="5"/>
      <c r="D124" s="5"/>
      <c r="E124" s="5"/>
      <c r="F124" s="5"/>
      <c r="G124" s="5"/>
      <c r="H124" s="5"/>
      <c r="I124" s="5"/>
      <c r="J124" s="5"/>
      <c r="K124" s="5"/>
      <c r="L124" s="5"/>
      <c r="M124" s="5"/>
    </row>
    <row r="125" spans="1:13" ht="12" x14ac:dyDescent="0.2">
      <c r="A125" s="5"/>
      <c r="B125" s="5"/>
      <c r="C125" s="5"/>
      <c r="D125" s="5"/>
      <c r="E125" s="5"/>
      <c r="F125" s="5"/>
      <c r="G125" s="5"/>
      <c r="H125" s="5"/>
      <c r="I125" s="5"/>
      <c r="J125" s="5"/>
      <c r="K125" s="5"/>
      <c r="L125" s="5"/>
      <c r="M125" s="5"/>
    </row>
    <row r="126" spans="1:13" ht="12" x14ac:dyDescent="0.2">
      <c r="A126" s="5"/>
      <c r="B126" s="5"/>
      <c r="C126" s="5"/>
      <c r="D126" s="5"/>
      <c r="E126" s="5"/>
      <c r="F126" s="5"/>
      <c r="G126" s="5"/>
      <c r="H126" s="5"/>
      <c r="I126" s="5"/>
      <c r="J126" s="5"/>
      <c r="K126" s="5"/>
      <c r="L126" s="5"/>
      <c r="M126" s="5"/>
    </row>
    <row r="127" spans="1:13" ht="12" x14ac:dyDescent="0.2">
      <c r="A127" s="5"/>
      <c r="B127" s="5"/>
      <c r="C127" s="5"/>
      <c r="D127" s="5"/>
      <c r="E127" s="5"/>
      <c r="F127" s="5"/>
      <c r="G127" s="5"/>
      <c r="H127" s="5"/>
      <c r="I127" s="5"/>
      <c r="J127" s="5"/>
      <c r="K127" s="5"/>
      <c r="L127" s="5"/>
      <c r="M127" s="5"/>
    </row>
    <row r="128" spans="1:13" ht="12" x14ac:dyDescent="0.2">
      <c r="A128" s="5"/>
      <c r="B128" s="5"/>
      <c r="C128" s="5"/>
      <c r="D128" s="5"/>
      <c r="E128" s="5"/>
      <c r="F128" s="5"/>
      <c r="G128" s="5"/>
      <c r="H128" s="5"/>
      <c r="I128" s="5"/>
      <c r="J128" s="5"/>
      <c r="K128" s="5"/>
      <c r="L128" s="5"/>
      <c r="M128" s="5"/>
    </row>
    <row r="129" spans="1:13" ht="12" x14ac:dyDescent="0.2">
      <c r="A129" s="5"/>
      <c r="B129" s="5"/>
      <c r="C129" s="5"/>
      <c r="D129" s="5"/>
      <c r="E129" s="5"/>
      <c r="F129" s="5"/>
      <c r="G129" s="5"/>
      <c r="H129" s="5"/>
      <c r="I129" s="5"/>
      <c r="J129" s="5"/>
      <c r="K129" s="5"/>
      <c r="L129" s="5"/>
      <c r="M129" s="5"/>
    </row>
    <row r="130" spans="1:13" ht="12" x14ac:dyDescent="0.2">
      <c r="A130" s="5"/>
      <c r="B130" s="5"/>
      <c r="C130" s="5"/>
      <c r="D130" s="5"/>
      <c r="E130" s="5"/>
      <c r="F130" s="5"/>
      <c r="G130" s="5"/>
      <c r="H130" s="5"/>
      <c r="I130" s="5"/>
      <c r="J130" s="5"/>
      <c r="K130" s="5"/>
      <c r="L130" s="5"/>
      <c r="M130" s="5"/>
    </row>
    <row r="131" spans="1:13" ht="12" x14ac:dyDescent="0.2">
      <c r="A131" s="5"/>
      <c r="B131" s="5"/>
      <c r="C131" s="5"/>
      <c r="D131" s="5"/>
      <c r="E131" s="5"/>
      <c r="F131" s="5"/>
      <c r="G131" s="5"/>
      <c r="H131" s="5"/>
      <c r="I131" s="5"/>
      <c r="J131" s="5"/>
      <c r="K131" s="5"/>
      <c r="L131" s="5"/>
      <c r="M131" s="5"/>
    </row>
    <row r="132" spans="1:13" ht="12" x14ac:dyDescent="0.2">
      <c r="A132" s="5"/>
      <c r="B132" s="5"/>
      <c r="C132" s="5"/>
      <c r="D132" s="5"/>
      <c r="E132" s="5"/>
      <c r="F132" s="5"/>
      <c r="G132" s="5"/>
      <c r="H132" s="5"/>
      <c r="I132" s="5"/>
      <c r="J132" s="5"/>
      <c r="K132" s="5"/>
      <c r="L132" s="5"/>
      <c r="M132" s="5"/>
    </row>
    <row r="133" spans="1:13" ht="12" x14ac:dyDescent="0.2">
      <c r="A133" s="5"/>
      <c r="B133" s="5"/>
      <c r="C133" s="5"/>
      <c r="D133" s="5"/>
      <c r="E133" s="5"/>
      <c r="F133" s="5"/>
      <c r="G133" s="5"/>
      <c r="H133" s="5"/>
      <c r="I133" s="5"/>
      <c r="J133" s="5"/>
      <c r="K133" s="5"/>
      <c r="L133" s="5"/>
      <c r="M133" s="5"/>
    </row>
    <row r="134" spans="1:13" ht="12" x14ac:dyDescent="0.2">
      <c r="A134" s="5"/>
      <c r="B134" s="5"/>
      <c r="C134" s="5"/>
      <c r="D134" s="5"/>
      <c r="E134" s="5"/>
      <c r="F134" s="5"/>
      <c r="G134" s="5"/>
      <c r="H134" s="5"/>
      <c r="I134" s="5"/>
      <c r="J134" s="5"/>
      <c r="K134" s="5"/>
      <c r="L134" s="5"/>
      <c r="M134" s="5"/>
    </row>
    <row r="135" spans="1:13" ht="12" x14ac:dyDescent="0.2">
      <c r="A135" s="5"/>
      <c r="B135" s="5"/>
      <c r="C135" s="5"/>
      <c r="D135" s="5"/>
      <c r="E135" s="5"/>
      <c r="F135" s="5"/>
      <c r="G135" s="5"/>
      <c r="H135" s="5"/>
      <c r="I135" s="5"/>
      <c r="J135" s="5"/>
      <c r="K135" s="5"/>
      <c r="L135" s="5"/>
      <c r="M135" s="5"/>
    </row>
    <row r="136" spans="1:13" ht="12" x14ac:dyDescent="0.2">
      <c r="A136" s="5"/>
      <c r="B136" s="5"/>
      <c r="C136" s="5"/>
      <c r="D136" s="5"/>
      <c r="E136" s="5"/>
      <c r="F136" s="5"/>
      <c r="G136" s="5"/>
      <c r="H136" s="5"/>
      <c r="I136" s="5"/>
      <c r="J136" s="5"/>
      <c r="K136" s="5"/>
      <c r="L136" s="5"/>
      <c r="M136" s="5"/>
    </row>
    <row r="137" spans="1:13" ht="12" x14ac:dyDescent="0.2">
      <c r="A137" s="5"/>
      <c r="B137" s="5"/>
      <c r="C137" s="5"/>
      <c r="D137" s="5"/>
      <c r="E137" s="5"/>
      <c r="F137" s="5"/>
      <c r="G137" s="5"/>
      <c r="H137" s="5"/>
      <c r="I137" s="5"/>
      <c r="J137" s="5"/>
      <c r="K137" s="5"/>
      <c r="L137" s="5"/>
      <c r="M137" s="5"/>
    </row>
    <row r="138" spans="1:13" ht="12" x14ac:dyDescent="0.2">
      <c r="A138" s="5"/>
      <c r="B138" s="5"/>
      <c r="C138" s="5"/>
      <c r="D138" s="5"/>
      <c r="E138" s="5"/>
      <c r="F138" s="5"/>
      <c r="G138" s="5"/>
      <c r="H138" s="5"/>
      <c r="I138" s="5"/>
      <c r="J138" s="5"/>
      <c r="K138" s="5"/>
      <c r="L138" s="5"/>
      <c r="M138" s="5"/>
    </row>
    <row r="139" spans="1:13" ht="12" x14ac:dyDescent="0.2">
      <c r="A139" s="5"/>
      <c r="B139" s="5"/>
      <c r="C139" s="5"/>
      <c r="D139" s="5"/>
      <c r="E139" s="5"/>
      <c r="F139" s="5"/>
      <c r="G139" s="5"/>
      <c r="H139" s="5"/>
      <c r="I139" s="5"/>
      <c r="J139" s="5"/>
      <c r="K139" s="5"/>
      <c r="L139" s="5"/>
      <c r="M139" s="5"/>
    </row>
    <row r="140" spans="1:13" ht="12" x14ac:dyDescent="0.2">
      <c r="A140" s="5"/>
      <c r="B140" s="5"/>
      <c r="C140" s="5"/>
      <c r="D140" s="5"/>
      <c r="E140" s="5"/>
      <c r="F140" s="5"/>
      <c r="G140" s="5"/>
      <c r="H140" s="5"/>
      <c r="I140" s="5"/>
      <c r="J140" s="5"/>
      <c r="K140" s="5"/>
      <c r="L140" s="5"/>
      <c r="M140" s="5"/>
    </row>
    <row r="141" spans="1:13" ht="12" x14ac:dyDescent="0.2">
      <c r="A141" s="5"/>
      <c r="B141" s="5"/>
      <c r="C141" s="5"/>
      <c r="D141" s="5"/>
      <c r="E141" s="5"/>
      <c r="F141" s="5"/>
      <c r="G141" s="5"/>
      <c r="H141" s="5"/>
      <c r="I141" s="5"/>
      <c r="J141" s="5"/>
      <c r="K141" s="5"/>
      <c r="L141" s="5"/>
      <c r="M141" s="5"/>
    </row>
    <row r="142" spans="1:13" ht="12" x14ac:dyDescent="0.2">
      <c r="A142" s="5"/>
      <c r="B142" s="5"/>
      <c r="C142" s="5"/>
      <c r="D142" s="5"/>
      <c r="E142" s="5"/>
      <c r="F142" s="5"/>
      <c r="G142" s="5"/>
      <c r="H142" s="5"/>
      <c r="I142" s="5"/>
      <c r="J142" s="5"/>
      <c r="K142" s="5"/>
      <c r="L142" s="5"/>
      <c r="M142" s="5"/>
    </row>
    <row r="143" spans="1:13" ht="12" x14ac:dyDescent="0.2">
      <c r="A143" s="5"/>
      <c r="B143" s="5"/>
      <c r="C143" s="5"/>
      <c r="D143" s="5"/>
      <c r="E143" s="5"/>
      <c r="F143" s="5"/>
      <c r="G143" s="5"/>
      <c r="H143" s="5"/>
      <c r="I143" s="5"/>
      <c r="J143" s="5"/>
      <c r="K143" s="5"/>
      <c r="L143" s="5"/>
      <c r="M143" s="5"/>
    </row>
    <row r="144" spans="1:13" ht="12" x14ac:dyDescent="0.2">
      <c r="A144" s="5"/>
      <c r="B144" s="5"/>
      <c r="C144" s="5"/>
      <c r="D144" s="5"/>
      <c r="E144" s="5"/>
      <c r="F144" s="5"/>
      <c r="G144" s="5"/>
      <c r="H144" s="5"/>
      <c r="I144" s="5"/>
      <c r="J144" s="5"/>
      <c r="K144" s="5"/>
      <c r="L144" s="5"/>
      <c r="M144" s="5"/>
    </row>
    <row r="145" spans="1:13" ht="12" x14ac:dyDescent="0.2">
      <c r="A145" s="5"/>
      <c r="B145" s="5"/>
      <c r="C145" s="5"/>
      <c r="D145" s="5"/>
      <c r="E145" s="5"/>
      <c r="F145" s="5"/>
      <c r="G145" s="5"/>
      <c r="H145" s="5"/>
      <c r="I145" s="5"/>
      <c r="J145" s="5"/>
      <c r="K145" s="5"/>
      <c r="L145" s="5"/>
      <c r="M145" s="5"/>
    </row>
    <row r="146" spans="1:13" ht="12" x14ac:dyDescent="0.2">
      <c r="A146" s="5"/>
      <c r="B146" s="5"/>
      <c r="C146" s="5"/>
      <c r="D146" s="5"/>
      <c r="E146" s="5"/>
      <c r="F146" s="5"/>
      <c r="G146" s="5"/>
      <c r="H146" s="5"/>
      <c r="I146" s="5"/>
      <c r="J146" s="5"/>
      <c r="K146" s="5"/>
      <c r="L146" s="5"/>
      <c r="M146" s="5"/>
    </row>
    <row r="147" spans="1:13" ht="12" x14ac:dyDescent="0.2">
      <c r="A147" s="5"/>
      <c r="B147" s="5"/>
      <c r="C147" s="5"/>
      <c r="D147" s="5"/>
      <c r="E147" s="5"/>
      <c r="F147" s="5"/>
      <c r="G147" s="5"/>
      <c r="H147" s="5"/>
      <c r="I147" s="5"/>
      <c r="J147" s="5"/>
      <c r="K147" s="5"/>
      <c r="L147" s="5"/>
      <c r="M147" s="5"/>
    </row>
    <row r="148" spans="1:13" ht="12" x14ac:dyDescent="0.2">
      <c r="A148" s="5"/>
      <c r="B148" s="5"/>
      <c r="C148" s="5"/>
      <c r="D148" s="5"/>
      <c r="E148" s="5"/>
      <c r="F148" s="5"/>
      <c r="G148" s="5"/>
      <c r="H148" s="5"/>
      <c r="I148" s="5"/>
      <c r="J148" s="5"/>
      <c r="K148" s="5"/>
      <c r="L148" s="5"/>
      <c r="M148" s="5"/>
    </row>
    <row r="149" spans="1:13" ht="12" x14ac:dyDescent="0.2">
      <c r="A149" s="5"/>
      <c r="B149" s="5"/>
      <c r="C149" s="5"/>
      <c r="D149" s="5"/>
      <c r="E149" s="5"/>
      <c r="F149" s="5"/>
      <c r="G149" s="5"/>
      <c r="H149" s="5"/>
      <c r="I149" s="5"/>
      <c r="J149" s="5"/>
      <c r="K149" s="5"/>
      <c r="L149" s="5"/>
      <c r="M149" s="5"/>
    </row>
    <row r="150" spans="1:13" ht="12" x14ac:dyDescent="0.2">
      <c r="A150" s="5"/>
      <c r="B150" s="5"/>
      <c r="C150" s="5"/>
      <c r="D150" s="5"/>
      <c r="E150" s="5"/>
      <c r="F150" s="5"/>
      <c r="G150" s="5"/>
      <c r="H150" s="5"/>
      <c r="I150" s="5"/>
      <c r="J150" s="5"/>
      <c r="K150" s="5"/>
      <c r="L150" s="5"/>
      <c r="M150" s="5"/>
    </row>
    <row r="151" spans="1:13" ht="12" x14ac:dyDescent="0.2">
      <c r="A151" s="5"/>
      <c r="B151" s="5"/>
      <c r="C151" s="5"/>
      <c r="D151" s="5"/>
      <c r="E151" s="5"/>
      <c r="F151" s="5"/>
      <c r="G151" s="5"/>
      <c r="H151" s="5"/>
      <c r="I151" s="5"/>
      <c r="J151" s="5"/>
      <c r="K151" s="5"/>
      <c r="L151" s="5"/>
      <c r="M151" s="5"/>
    </row>
    <row r="152" spans="1:13" ht="12" x14ac:dyDescent="0.2">
      <c r="A152" s="5"/>
      <c r="B152" s="5"/>
      <c r="C152" s="5"/>
      <c r="D152" s="5"/>
      <c r="E152" s="5"/>
      <c r="F152" s="5"/>
      <c r="G152" s="5"/>
      <c r="H152" s="5"/>
      <c r="I152" s="5"/>
      <c r="J152" s="5"/>
      <c r="K152" s="5"/>
      <c r="L152" s="5"/>
      <c r="M152" s="5"/>
    </row>
    <row r="153" spans="1:13" ht="12" x14ac:dyDescent="0.2">
      <c r="A153" s="5"/>
      <c r="B153" s="5"/>
      <c r="C153" s="5"/>
      <c r="D153" s="5"/>
      <c r="E153" s="5"/>
      <c r="F153" s="5"/>
      <c r="G153" s="5"/>
      <c r="H153" s="5"/>
      <c r="I153" s="5"/>
      <c r="J153" s="5"/>
      <c r="K153" s="5"/>
      <c r="L153" s="5"/>
      <c r="M153" s="5"/>
    </row>
    <row r="154" spans="1:13" ht="12" x14ac:dyDescent="0.2">
      <c r="A154" s="5"/>
      <c r="B154" s="5"/>
      <c r="C154" s="5"/>
      <c r="D154" s="5"/>
      <c r="E154" s="5"/>
      <c r="F154" s="5"/>
      <c r="G154" s="5"/>
      <c r="H154" s="5"/>
      <c r="I154" s="5"/>
      <c r="J154" s="5"/>
      <c r="K154" s="5"/>
      <c r="L154" s="5"/>
      <c r="M154" s="5"/>
    </row>
    <row r="155" spans="1:13" ht="12" x14ac:dyDescent="0.2">
      <c r="A155" s="5"/>
      <c r="B155" s="5"/>
      <c r="C155" s="5"/>
      <c r="D155" s="5"/>
      <c r="E155" s="5"/>
      <c r="F155" s="5"/>
      <c r="G155" s="5"/>
      <c r="H155" s="5"/>
      <c r="I155" s="5"/>
      <c r="J155" s="5"/>
      <c r="K155" s="5"/>
      <c r="L155" s="5"/>
      <c r="M155" s="5"/>
    </row>
    <row r="156" spans="1:13" ht="12" x14ac:dyDescent="0.2">
      <c r="A156" s="5"/>
      <c r="B156" s="5"/>
      <c r="C156" s="5"/>
      <c r="D156" s="5"/>
      <c r="E156" s="5"/>
      <c r="F156" s="5"/>
      <c r="G156" s="5"/>
      <c r="H156" s="5"/>
      <c r="I156" s="5"/>
      <c r="J156" s="5"/>
      <c r="K156" s="5"/>
      <c r="L156" s="5"/>
      <c r="M156" s="5"/>
    </row>
    <row r="157" spans="1:13" ht="12" x14ac:dyDescent="0.2">
      <c r="A157" s="5"/>
      <c r="B157" s="5"/>
      <c r="C157" s="5"/>
      <c r="D157" s="5"/>
      <c r="E157" s="5"/>
      <c r="F157" s="5"/>
      <c r="G157" s="5"/>
      <c r="H157" s="5"/>
      <c r="I157" s="5"/>
      <c r="J157" s="5"/>
      <c r="K157" s="5"/>
      <c r="L157" s="5"/>
      <c r="M157" s="5"/>
    </row>
    <row r="158" spans="1:13" ht="12" x14ac:dyDescent="0.2">
      <c r="A158" s="5"/>
      <c r="B158" s="5"/>
      <c r="C158" s="5"/>
      <c r="D158" s="5"/>
      <c r="E158" s="5"/>
      <c r="F158" s="5"/>
      <c r="G158" s="5"/>
      <c r="H158" s="5"/>
      <c r="I158" s="5"/>
      <c r="J158" s="5"/>
      <c r="K158" s="5"/>
      <c r="L158" s="5"/>
      <c r="M158" s="5"/>
    </row>
    <row r="159" spans="1:13" ht="12" x14ac:dyDescent="0.2">
      <c r="A159" s="5"/>
      <c r="B159" s="5"/>
      <c r="C159" s="5"/>
      <c r="D159" s="5"/>
      <c r="E159" s="5"/>
      <c r="F159" s="5"/>
      <c r="G159" s="5"/>
      <c r="H159" s="5"/>
      <c r="I159" s="5"/>
      <c r="J159" s="5"/>
      <c r="K159" s="5"/>
      <c r="L159" s="5"/>
      <c r="M159" s="5"/>
    </row>
    <row r="160" spans="1:13" ht="12" x14ac:dyDescent="0.2">
      <c r="A160" s="5"/>
      <c r="B160" s="5"/>
      <c r="C160" s="5"/>
      <c r="D160" s="5"/>
      <c r="E160" s="5"/>
      <c r="F160" s="5"/>
      <c r="G160" s="5"/>
      <c r="H160" s="5"/>
      <c r="I160" s="5"/>
      <c r="J160" s="5"/>
      <c r="K160" s="5"/>
      <c r="L160" s="5"/>
      <c r="M160" s="5"/>
    </row>
    <row r="161" spans="1:13" ht="12" x14ac:dyDescent="0.2">
      <c r="A161" s="5"/>
      <c r="B161" s="5"/>
      <c r="C161" s="5"/>
      <c r="D161" s="5"/>
      <c r="E161" s="5"/>
      <c r="F161" s="5"/>
      <c r="G161" s="5"/>
      <c r="H161" s="5"/>
      <c r="I161" s="5"/>
      <c r="J161" s="5"/>
      <c r="K161" s="5"/>
      <c r="L161" s="5"/>
      <c r="M161" s="5"/>
    </row>
    <row r="162" spans="1:13" ht="12" x14ac:dyDescent="0.2">
      <c r="A162" s="5"/>
      <c r="B162" s="5"/>
      <c r="C162" s="5"/>
      <c r="D162" s="5"/>
      <c r="E162" s="5"/>
      <c r="F162" s="5"/>
      <c r="G162" s="5"/>
      <c r="H162" s="5"/>
      <c r="I162" s="5"/>
      <c r="J162" s="5"/>
      <c r="K162" s="5"/>
      <c r="L162" s="5"/>
      <c r="M162" s="5"/>
    </row>
    <row r="163" spans="1:13" ht="12" x14ac:dyDescent="0.2">
      <c r="A163" s="5"/>
      <c r="B163" s="5"/>
      <c r="C163" s="5"/>
      <c r="D163" s="5"/>
      <c r="E163" s="5"/>
      <c r="F163" s="5"/>
      <c r="G163" s="5"/>
      <c r="H163" s="5"/>
      <c r="I163" s="5"/>
      <c r="J163" s="5"/>
      <c r="K163" s="5"/>
      <c r="L163" s="5"/>
      <c r="M163" s="5"/>
    </row>
    <row r="164" spans="1:13" ht="12" x14ac:dyDescent="0.2">
      <c r="A164" s="5"/>
      <c r="B164" s="5"/>
      <c r="C164" s="5"/>
      <c r="D164" s="5"/>
      <c r="E164" s="5"/>
      <c r="F164" s="5"/>
      <c r="G164" s="5"/>
      <c r="H164" s="5"/>
      <c r="I164" s="5"/>
      <c r="J164" s="5"/>
      <c r="K164" s="5"/>
      <c r="L164" s="5"/>
      <c r="M164" s="5"/>
    </row>
    <row r="165" spans="1:13" ht="12" x14ac:dyDescent="0.2">
      <c r="A165" s="5"/>
      <c r="B165" s="5"/>
      <c r="C165" s="5"/>
      <c r="D165" s="5"/>
      <c r="E165" s="5"/>
      <c r="F165" s="5"/>
      <c r="G165" s="5"/>
      <c r="H165" s="5"/>
      <c r="I165" s="5"/>
      <c r="J165" s="5"/>
      <c r="K165" s="5"/>
      <c r="L165" s="5"/>
      <c r="M165" s="5"/>
    </row>
    <row r="166" spans="1:13" ht="12" x14ac:dyDescent="0.2">
      <c r="A166" s="5"/>
      <c r="B166" s="5"/>
      <c r="C166" s="5"/>
      <c r="D166" s="5"/>
      <c r="E166" s="5"/>
      <c r="F166" s="5"/>
      <c r="G166" s="5"/>
      <c r="H166" s="5"/>
      <c r="I166" s="5"/>
      <c r="J166" s="5"/>
      <c r="K166" s="5"/>
      <c r="L166" s="5"/>
      <c r="M166" s="5"/>
    </row>
    <row r="167" spans="1:13" ht="12" x14ac:dyDescent="0.2">
      <c r="A167" s="5"/>
      <c r="B167" s="5"/>
      <c r="C167" s="5"/>
      <c r="D167" s="5"/>
      <c r="E167" s="5"/>
      <c r="F167" s="5"/>
      <c r="G167" s="5"/>
      <c r="H167" s="5"/>
      <c r="I167" s="5"/>
      <c r="J167" s="5"/>
      <c r="K167" s="5"/>
      <c r="L167" s="5"/>
      <c r="M167" s="5"/>
    </row>
    <row r="168" spans="1:13" ht="12" x14ac:dyDescent="0.2">
      <c r="A168" s="5"/>
      <c r="B168" s="5"/>
      <c r="C168" s="5"/>
      <c r="D168" s="5"/>
      <c r="E168" s="5"/>
      <c r="F168" s="5"/>
      <c r="G168" s="5"/>
      <c r="H168" s="5"/>
      <c r="I168" s="5"/>
      <c r="J168" s="5"/>
      <c r="K168" s="5"/>
      <c r="L168" s="5"/>
      <c r="M168" s="5"/>
    </row>
    <row r="169" spans="1:13" ht="12" x14ac:dyDescent="0.2">
      <c r="A169" s="5"/>
      <c r="B169" s="5"/>
      <c r="C169" s="5"/>
      <c r="D169" s="5"/>
      <c r="E169" s="5"/>
      <c r="F169" s="5"/>
      <c r="G169" s="5"/>
      <c r="H169" s="5"/>
      <c r="I169" s="5"/>
      <c r="J169" s="5"/>
      <c r="K169" s="5"/>
      <c r="L169" s="5"/>
      <c r="M169" s="5"/>
    </row>
    <row r="170" spans="1:13" ht="12" x14ac:dyDescent="0.2">
      <c r="A170" s="5"/>
      <c r="B170" s="5"/>
      <c r="C170" s="5"/>
      <c r="D170" s="5"/>
      <c r="E170" s="5"/>
      <c r="F170" s="5"/>
      <c r="G170" s="5"/>
      <c r="H170" s="5"/>
      <c r="I170" s="5"/>
      <c r="J170" s="5"/>
      <c r="K170" s="5"/>
      <c r="L170" s="5"/>
      <c r="M170" s="5"/>
    </row>
    <row r="171" spans="1:13" ht="12" x14ac:dyDescent="0.2">
      <c r="A171" s="5"/>
      <c r="B171" s="5"/>
      <c r="C171" s="5"/>
      <c r="D171" s="5"/>
      <c r="E171" s="5"/>
      <c r="F171" s="5"/>
      <c r="G171" s="5"/>
      <c r="H171" s="5"/>
      <c r="I171" s="5"/>
      <c r="J171" s="5"/>
      <c r="K171" s="5"/>
      <c r="L171" s="5"/>
      <c r="M171" s="5"/>
    </row>
    <row r="172" spans="1:13" ht="12" x14ac:dyDescent="0.2">
      <c r="A172" s="5"/>
      <c r="B172" s="5"/>
      <c r="C172" s="5"/>
      <c r="D172" s="5"/>
      <c r="E172" s="5"/>
      <c r="F172" s="5"/>
      <c r="G172" s="5"/>
      <c r="H172" s="5"/>
      <c r="I172" s="5"/>
      <c r="J172" s="5"/>
      <c r="K172" s="5"/>
      <c r="L172" s="5"/>
      <c r="M172" s="5"/>
    </row>
    <row r="173" spans="1:13" ht="12" hidden="1" x14ac:dyDescent="0.2">
      <c r="A173" s="5"/>
      <c r="B173" s="5"/>
      <c r="C173" s="5"/>
      <c r="D173" s="5"/>
      <c r="E173" s="5"/>
      <c r="F173" s="5"/>
      <c r="G173" s="5"/>
      <c r="H173" s="5"/>
      <c r="I173" s="5"/>
      <c r="J173" s="5"/>
      <c r="K173" s="5"/>
      <c r="L173" s="5"/>
      <c r="M173" s="5"/>
    </row>
    <row r="174" spans="1:13" ht="12" hidden="1" x14ac:dyDescent="0.2">
      <c r="A174" s="5"/>
      <c r="B174" s="5"/>
      <c r="C174" s="5"/>
      <c r="D174" s="5"/>
      <c r="E174" s="5"/>
      <c r="F174" s="5"/>
      <c r="G174" s="5"/>
      <c r="H174" s="5"/>
      <c r="I174" s="5"/>
      <c r="J174" s="5"/>
      <c r="K174" s="5"/>
      <c r="L174" s="5"/>
      <c r="M174" s="5"/>
    </row>
    <row r="175" spans="1:13" ht="12" hidden="1" x14ac:dyDescent="0.2">
      <c r="A175" s="5"/>
      <c r="B175" s="5"/>
      <c r="C175" s="5"/>
      <c r="D175" s="5"/>
      <c r="E175" s="5"/>
      <c r="F175" s="5"/>
      <c r="G175" s="5"/>
      <c r="H175" s="5"/>
      <c r="I175" s="5"/>
      <c r="J175" s="5"/>
      <c r="K175" s="5"/>
      <c r="L175" s="5"/>
      <c r="M175" s="5"/>
    </row>
    <row r="176" spans="1:13" ht="12" hidden="1" x14ac:dyDescent="0.2">
      <c r="A176" s="5"/>
      <c r="B176" s="5"/>
      <c r="C176" s="5"/>
      <c r="D176" s="5"/>
      <c r="E176" s="5"/>
      <c r="F176" s="5"/>
      <c r="G176" s="5"/>
      <c r="H176" s="5"/>
      <c r="I176" s="5"/>
      <c r="J176" s="5"/>
      <c r="K176" s="5"/>
    </row>
    <row r="177" spans="1:11" ht="12" hidden="1" x14ac:dyDescent="0.2">
      <c r="A177" s="5"/>
      <c r="B177" s="5"/>
      <c r="C177" s="5"/>
      <c r="D177" s="5"/>
      <c r="E177" s="5"/>
      <c r="F177" s="5"/>
      <c r="G177" s="5"/>
      <c r="H177" s="5"/>
      <c r="I177" s="5"/>
      <c r="J177" s="5"/>
      <c r="K177" s="5"/>
    </row>
    <row r="178" spans="1:11" ht="12.75" hidden="1" customHeight="1" x14ac:dyDescent="0.25"/>
    <row r="179" spans="1:11" ht="12.75" hidden="1" customHeight="1" x14ac:dyDescent="0.25"/>
    <row r="180" spans="1:11" ht="12.75" hidden="1" customHeight="1" x14ac:dyDescent="0.25"/>
    <row r="181" spans="1:11" ht="12.75" hidden="1" customHeight="1" x14ac:dyDescent="0.25"/>
    <row r="182" spans="1:11" ht="12.75" hidden="1" customHeight="1" x14ac:dyDescent="0.25"/>
    <row r="183" spans="1:11" ht="12.75" hidden="1" customHeight="1" x14ac:dyDescent="0.25"/>
  </sheetData>
  <mergeCells count="307">
    <mergeCell ref="I67:J67"/>
    <mergeCell ref="C57:D57"/>
    <mergeCell ref="I43:J43"/>
    <mergeCell ref="I45:J45"/>
    <mergeCell ref="I46:J46"/>
    <mergeCell ref="I47:J47"/>
    <mergeCell ref="I48:J48"/>
    <mergeCell ref="C55:D55"/>
    <mergeCell ref="C54:D54"/>
    <mergeCell ref="F54:G54"/>
    <mergeCell ref="I49:J49"/>
    <mergeCell ref="I50:J50"/>
    <mergeCell ref="C56:D56"/>
    <mergeCell ref="F56:G56"/>
    <mergeCell ref="C58:D58"/>
    <mergeCell ref="F58:G58"/>
    <mergeCell ref="I56:J56"/>
    <mergeCell ref="I57:J57"/>
    <mergeCell ref="I60:J60"/>
    <mergeCell ref="I61:J61"/>
    <mergeCell ref="I62:J62"/>
    <mergeCell ref="I59:J59"/>
    <mergeCell ref="F61:G61"/>
    <mergeCell ref="C59:D59"/>
    <mergeCell ref="F57:G57"/>
    <mergeCell ref="C60:D60"/>
    <mergeCell ref="C61:D61"/>
    <mergeCell ref="C62:D62"/>
    <mergeCell ref="I58:J58"/>
    <mergeCell ref="F38:H38"/>
    <mergeCell ref="F43:G43"/>
    <mergeCell ref="C40:D40"/>
    <mergeCell ref="C38:E38"/>
    <mergeCell ref="C53:D53"/>
    <mergeCell ref="C43:D43"/>
    <mergeCell ref="F44:G44"/>
    <mergeCell ref="F45:G45"/>
    <mergeCell ref="C42:D42"/>
    <mergeCell ref="F42:G42"/>
    <mergeCell ref="F40:G40"/>
    <mergeCell ref="F46:G46"/>
    <mergeCell ref="F47:G47"/>
    <mergeCell ref="F53:G53"/>
    <mergeCell ref="I40:J40"/>
    <mergeCell ref="I42:J42"/>
    <mergeCell ref="I44:J44"/>
    <mergeCell ref="I53:J53"/>
    <mergeCell ref="F48:G48"/>
    <mergeCell ref="F49:G49"/>
    <mergeCell ref="F50:G50"/>
    <mergeCell ref="F51:G51"/>
    <mergeCell ref="F52:G52"/>
    <mergeCell ref="I52:J52"/>
    <mergeCell ref="C30:E30"/>
    <mergeCell ref="F30:H30"/>
    <mergeCell ref="I27:K27"/>
    <mergeCell ref="I28:K28"/>
    <mergeCell ref="I38:K38"/>
    <mergeCell ref="C24:E24"/>
    <mergeCell ref="C25:E25"/>
    <mergeCell ref="C26:E26"/>
    <mergeCell ref="C27:E27"/>
    <mergeCell ref="C28:E28"/>
    <mergeCell ref="C1:K1"/>
    <mergeCell ref="C3:E3"/>
    <mergeCell ref="F3:H3"/>
    <mergeCell ref="C4:E4"/>
    <mergeCell ref="F4:H4"/>
    <mergeCell ref="C9:E9"/>
    <mergeCell ref="C15:E15"/>
    <mergeCell ref="C11:E11"/>
    <mergeCell ref="C12:E12"/>
    <mergeCell ref="B8:E8"/>
    <mergeCell ref="I9:K9"/>
    <mergeCell ref="I10:K10"/>
    <mergeCell ref="I11:K11"/>
    <mergeCell ref="I12:K12"/>
    <mergeCell ref="I8:K8"/>
    <mergeCell ref="F8:H8"/>
    <mergeCell ref="F9:H9"/>
    <mergeCell ref="F11:H11"/>
    <mergeCell ref="F10:H10"/>
    <mergeCell ref="F12:H12"/>
    <mergeCell ref="F26:H26"/>
    <mergeCell ref="F27:H27"/>
    <mergeCell ref="F28:H28"/>
    <mergeCell ref="F24:H24"/>
    <mergeCell ref="F25:H25"/>
    <mergeCell ref="F36:H36"/>
    <mergeCell ref="F37:H37"/>
    <mergeCell ref="I33:K33"/>
    <mergeCell ref="I34:K34"/>
    <mergeCell ref="I35:K35"/>
    <mergeCell ref="I36:K36"/>
    <mergeCell ref="I30:K30"/>
    <mergeCell ref="I37:K37"/>
    <mergeCell ref="L40:M40"/>
    <mergeCell ref="N40:O40"/>
    <mergeCell ref="F33:H33"/>
    <mergeCell ref="F29:H29"/>
    <mergeCell ref="I95:J95"/>
    <mergeCell ref="I96:J96"/>
    <mergeCell ref="F94:G94"/>
    <mergeCell ref="F95:G95"/>
    <mergeCell ref="F96:G96"/>
    <mergeCell ref="I68:J68"/>
    <mergeCell ref="F77:G77"/>
    <mergeCell ref="I71:J71"/>
    <mergeCell ref="I72:J72"/>
    <mergeCell ref="I69:J69"/>
    <mergeCell ref="I70:J70"/>
    <mergeCell ref="F63:G63"/>
    <mergeCell ref="F64:G64"/>
    <mergeCell ref="F65:G65"/>
    <mergeCell ref="F66:G66"/>
    <mergeCell ref="I63:J63"/>
    <mergeCell ref="I64:J64"/>
    <mergeCell ref="I65:J65"/>
    <mergeCell ref="I66:J66"/>
    <mergeCell ref="F59:G59"/>
    <mergeCell ref="I87:J87"/>
    <mergeCell ref="I88:J88"/>
    <mergeCell ref="I89:J89"/>
    <mergeCell ref="I77:J77"/>
    <mergeCell ref="F97:G97"/>
    <mergeCell ref="F92:G92"/>
    <mergeCell ref="F93:G93"/>
    <mergeCell ref="F88:G88"/>
    <mergeCell ref="F89:G89"/>
    <mergeCell ref="F83:G83"/>
    <mergeCell ref="F84:G84"/>
    <mergeCell ref="I83:J83"/>
    <mergeCell ref="I84:J84"/>
    <mergeCell ref="I73:J73"/>
    <mergeCell ref="I74:J74"/>
    <mergeCell ref="I75:J75"/>
    <mergeCell ref="I76:J76"/>
    <mergeCell ref="I78:J78"/>
    <mergeCell ref="I79:J79"/>
    <mergeCell ref="I80:J80"/>
    <mergeCell ref="I81:J81"/>
    <mergeCell ref="I86:J86"/>
    <mergeCell ref="F112:G112"/>
    <mergeCell ref="I103:J103"/>
    <mergeCell ref="I82:J82"/>
    <mergeCell ref="F82:G82"/>
    <mergeCell ref="I90:J90"/>
    <mergeCell ref="I91:J91"/>
    <mergeCell ref="I92:J92"/>
    <mergeCell ref="I93:J93"/>
    <mergeCell ref="I94:J94"/>
    <mergeCell ref="I97:J97"/>
    <mergeCell ref="F106:G106"/>
    <mergeCell ref="I106:J106"/>
    <mergeCell ref="I98:J98"/>
    <mergeCell ref="I99:J99"/>
    <mergeCell ref="I100:J100"/>
    <mergeCell ref="I101:J101"/>
    <mergeCell ref="I102:J102"/>
    <mergeCell ref="F103:G103"/>
    <mergeCell ref="F104:G104"/>
    <mergeCell ref="F105:G105"/>
    <mergeCell ref="F99:G99"/>
    <mergeCell ref="I104:J104"/>
    <mergeCell ref="I105:J105"/>
    <mergeCell ref="I112:J112"/>
    <mergeCell ref="F68:G68"/>
    <mergeCell ref="C74:D74"/>
    <mergeCell ref="C73:D73"/>
    <mergeCell ref="F73:G73"/>
    <mergeCell ref="C78:D78"/>
    <mergeCell ref="C75:D75"/>
    <mergeCell ref="C76:D76"/>
    <mergeCell ref="C77:D77"/>
    <mergeCell ref="F80:G80"/>
    <mergeCell ref="F69:G69"/>
    <mergeCell ref="F70:G70"/>
    <mergeCell ref="F71:G71"/>
    <mergeCell ref="C79:D79"/>
    <mergeCell ref="C80:D80"/>
    <mergeCell ref="D95:E95"/>
    <mergeCell ref="F98:G98"/>
    <mergeCell ref="F78:G78"/>
    <mergeCell ref="F79:G79"/>
    <mergeCell ref="F72:G72"/>
    <mergeCell ref="D87:E87"/>
    <mergeCell ref="D88:E88"/>
    <mergeCell ref="D89:E89"/>
    <mergeCell ref="D90:E90"/>
    <mergeCell ref="D91:E91"/>
    <mergeCell ref="D92:E92"/>
    <mergeCell ref="F74:G74"/>
    <mergeCell ref="F75:G75"/>
    <mergeCell ref="F76:G76"/>
    <mergeCell ref="F86:G86"/>
    <mergeCell ref="F87:G87"/>
    <mergeCell ref="C83:D83"/>
    <mergeCell ref="C84:D84"/>
    <mergeCell ref="D86:E86"/>
    <mergeCell ref="C82:D82"/>
    <mergeCell ref="F81:G81"/>
    <mergeCell ref="C81:D81"/>
    <mergeCell ref="F100:G100"/>
    <mergeCell ref="F101:G101"/>
    <mergeCell ref="F102:G102"/>
    <mergeCell ref="F90:G90"/>
    <mergeCell ref="F91:G91"/>
    <mergeCell ref="D113:E113"/>
    <mergeCell ref="D114:E114"/>
    <mergeCell ref="D115:E115"/>
    <mergeCell ref="D96:E96"/>
    <mergeCell ref="D97:E97"/>
    <mergeCell ref="D98:E98"/>
    <mergeCell ref="D99:E99"/>
    <mergeCell ref="D100:E100"/>
    <mergeCell ref="D101:E101"/>
    <mergeCell ref="D102:E102"/>
    <mergeCell ref="D105:E105"/>
    <mergeCell ref="D106:E106"/>
    <mergeCell ref="D108:E108"/>
    <mergeCell ref="D109:E109"/>
    <mergeCell ref="D110:E110"/>
    <mergeCell ref="D111:E111"/>
    <mergeCell ref="D112:E112"/>
    <mergeCell ref="D93:E93"/>
    <mergeCell ref="D94:E94"/>
    <mergeCell ref="D116:E116"/>
    <mergeCell ref="D117:E117"/>
    <mergeCell ref="D118:E118"/>
    <mergeCell ref="D119:E119"/>
    <mergeCell ref="C44:D44"/>
    <mergeCell ref="C45:D45"/>
    <mergeCell ref="C46:D46"/>
    <mergeCell ref="C47:D47"/>
    <mergeCell ref="C48:D48"/>
    <mergeCell ref="C49:D49"/>
    <mergeCell ref="C50:D50"/>
    <mergeCell ref="C51:D51"/>
    <mergeCell ref="C52:D52"/>
    <mergeCell ref="C63:D63"/>
    <mergeCell ref="C64:D64"/>
    <mergeCell ref="C65:D65"/>
    <mergeCell ref="C66:D66"/>
    <mergeCell ref="C67:D67"/>
    <mergeCell ref="C68:D68"/>
    <mergeCell ref="C69:D69"/>
    <mergeCell ref="C70:D70"/>
    <mergeCell ref="C71:D71"/>
    <mergeCell ref="C72:D72"/>
    <mergeCell ref="D107:E107"/>
    <mergeCell ref="F60:G60"/>
    <mergeCell ref="F62:G62"/>
    <mergeCell ref="I51:J51"/>
    <mergeCell ref="I54:J54"/>
    <mergeCell ref="F55:G55"/>
    <mergeCell ref="I55:J55"/>
    <mergeCell ref="C19:E19"/>
    <mergeCell ref="F19:H19"/>
    <mergeCell ref="I19:K19"/>
    <mergeCell ref="C20:E20"/>
    <mergeCell ref="F20:H20"/>
    <mergeCell ref="I20:K20"/>
    <mergeCell ref="C21:E21"/>
    <mergeCell ref="F21:H21"/>
    <mergeCell ref="I21:K21"/>
    <mergeCell ref="C32:E32"/>
    <mergeCell ref="C23:E23"/>
    <mergeCell ref="F23:H23"/>
    <mergeCell ref="I23:K23"/>
    <mergeCell ref="F31:H31"/>
    <mergeCell ref="I31:K31"/>
    <mergeCell ref="F32:H32"/>
    <mergeCell ref="I32:K32"/>
    <mergeCell ref="C29:E29"/>
    <mergeCell ref="C13:E13"/>
    <mergeCell ref="F13:H13"/>
    <mergeCell ref="I13:K13"/>
    <mergeCell ref="C14:E14"/>
    <mergeCell ref="F14:H14"/>
    <mergeCell ref="I14:K14"/>
    <mergeCell ref="F15:H15"/>
    <mergeCell ref="I15:K15"/>
    <mergeCell ref="F67:G67"/>
    <mergeCell ref="C22:E22"/>
    <mergeCell ref="C33:E33"/>
    <mergeCell ref="C34:E34"/>
    <mergeCell ref="C35:E35"/>
    <mergeCell ref="C36:E36"/>
    <mergeCell ref="C37:E37"/>
    <mergeCell ref="F35:H35"/>
    <mergeCell ref="F22:H22"/>
    <mergeCell ref="I22:K22"/>
    <mergeCell ref="I24:K24"/>
    <mergeCell ref="I25:K25"/>
    <mergeCell ref="I26:K26"/>
    <mergeCell ref="C31:E31"/>
    <mergeCell ref="F34:H34"/>
    <mergeCell ref="I29:K29"/>
    <mergeCell ref="C16:E16"/>
    <mergeCell ref="F16:H16"/>
    <mergeCell ref="I16:K16"/>
    <mergeCell ref="C17:E17"/>
    <mergeCell ref="F17:H17"/>
    <mergeCell ref="I17:K17"/>
    <mergeCell ref="C18:E18"/>
    <mergeCell ref="F18:H18"/>
    <mergeCell ref="I18:K18"/>
  </mergeCells>
  <phoneticPr fontId="42" type="noConversion"/>
  <pageMargins left="0.7" right="0.7" top="0.75" bottom="0.75" header="0.3" footer="0.3"/>
  <pageSetup paperSize="8" scale="48"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rgb="FF148DEA"/>
    <pageSetUpPr fitToPage="1"/>
  </sheetPr>
  <dimension ref="A1:AQ225"/>
  <sheetViews>
    <sheetView showGridLines="0" zoomScale="120" zoomScaleNormal="120" workbookViewId="0">
      <pane xSplit="1" ySplit="11" topLeftCell="B12" activePane="bottomRight" state="frozen"/>
      <selection activeCell="F13" sqref="F13:H13"/>
      <selection pane="topRight" activeCell="F13" sqref="F13:H13"/>
      <selection pane="bottomLeft" activeCell="F13" sqref="F13:H13"/>
      <selection pane="bottomRight" activeCell="O119" sqref="O119"/>
    </sheetView>
  </sheetViews>
  <sheetFormatPr baseColWidth="10" defaultColWidth="11.42578125" defaultRowHeight="12" zeroHeight="1" x14ac:dyDescent="0.2"/>
  <cols>
    <col min="1" max="1" width="36.28515625" style="13" customWidth="1"/>
    <col min="2" max="4" width="13.28515625" style="13" customWidth="1"/>
    <col min="5" max="5" width="13.28515625" style="13" hidden="1" customWidth="1"/>
    <col min="6" max="6" width="13.28515625" style="13" customWidth="1"/>
    <col min="7" max="7" width="17.28515625" style="13" bestFit="1" customWidth="1"/>
    <col min="8" max="10" width="13.28515625" style="13" customWidth="1"/>
    <col min="11" max="11" width="13.28515625" style="12" customWidth="1"/>
    <col min="12" max="16" width="13.28515625" style="13" customWidth="1"/>
    <col min="17" max="44" width="20" style="13" customWidth="1"/>
    <col min="45" max="16384" width="11.42578125" style="13"/>
  </cols>
  <sheetData>
    <row r="1" spans="1:11" s="12" customFormat="1" ht="68.25" customHeight="1" x14ac:dyDescent="0.35">
      <c r="B1" s="157" t="s">
        <v>367</v>
      </c>
      <c r="C1" s="157"/>
      <c r="D1" s="157"/>
      <c r="E1" s="157"/>
      <c r="F1" s="68"/>
      <c r="G1" s="68"/>
      <c r="H1" s="68"/>
      <c r="I1" s="68"/>
      <c r="J1" s="158"/>
      <c r="K1" s="158"/>
    </row>
    <row r="2" spans="1:11" s="12" customFormat="1" x14ac:dyDescent="0.2">
      <c r="A2" s="106"/>
      <c r="B2" s="159"/>
      <c r="C2" s="159"/>
      <c r="D2" s="159"/>
      <c r="E2" s="159"/>
      <c r="F2" s="159"/>
      <c r="G2" s="14"/>
      <c r="H2" s="14"/>
      <c r="I2" s="14"/>
      <c r="J2" s="14"/>
    </row>
    <row r="3" spans="1:11" s="12" customFormat="1" x14ac:dyDescent="0.2">
      <c r="A3" s="105" t="s">
        <v>228</v>
      </c>
      <c r="B3" s="160" t="s">
        <v>265</v>
      </c>
      <c r="C3" s="161"/>
      <c r="D3" s="161"/>
      <c r="E3" s="161"/>
      <c r="F3" s="162"/>
      <c r="G3" s="14"/>
      <c r="H3" s="14"/>
      <c r="I3" s="14"/>
      <c r="J3" s="14"/>
    </row>
    <row r="4" spans="1:11" s="12" customFormat="1" x14ac:dyDescent="0.2">
      <c r="A4" s="32" t="s">
        <v>59</v>
      </c>
      <c r="B4" s="160"/>
      <c r="C4" s="161"/>
      <c r="D4" s="161"/>
      <c r="E4" s="161"/>
      <c r="F4" s="162"/>
      <c r="G4" s="14"/>
      <c r="H4" s="14"/>
      <c r="I4" s="14"/>
      <c r="J4" s="14"/>
    </row>
    <row r="5" spans="1:11" s="12" customFormat="1" x14ac:dyDescent="0.2">
      <c r="A5" s="32" t="s">
        <v>60</v>
      </c>
      <c r="B5" s="166"/>
      <c r="C5" s="166"/>
      <c r="D5" s="166"/>
      <c r="E5" s="166"/>
      <c r="F5" s="166"/>
      <c r="G5" s="14"/>
      <c r="H5" s="14"/>
      <c r="I5" s="14"/>
    </row>
    <row r="6" spans="1:11" s="12" customFormat="1" x14ac:dyDescent="0.2">
      <c r="A6" s="32" t="s">
        <v>61</v>
      </c>
      <c r="B6" s="167"/>
      <c r="C6" s="166"/>
      <c r="D6" s="166"/>
      <c r="E6" s="166"/>
      <c r="F6" s="166"/>
      <c r="G6" s="14"/>
      <c r="H6" s="14"/>
      <c r="I6" s="14"/>
    </row>
    <row r="7" spans="1:11" s="12" customFormat="1" x14ac:dyDescent="0.2"/>
    <row r="8" spans="1:11" s="12" customFormat="1" x14ac:dyDescent="0.2"/>
    <row r="9" spans="1:11" s="12" customFormat="1" ht="17.25" customHeight="1" x14ac:dyDescent="0.2">
      <c r="A9" s="168" t="s">
        <v>62</v>
      </c>
      <c r="B9" s="169"/>
      <c r="C9" s="169"/>
      <c r="D9" s="169"/>
      <c r="E9" s="169"/>
      <c r="F9" s="169"/>
      <c r="G9" s="169"/>
      <c r="H9" s="169"/>
      <c r="I9" s="169"/>
      <c r="J9" s="170"/>
    </row>
    <row r="10" spans="1:11" s="12" customFormat="1" ht="18" customHeight="1" x14ac:dyDescent="0.2"/>
    <row r="11" spans="1:11" s="12" customFormat="1" ht="30.75" customHeight="1" x14ac:dyDescent="0.2">
      <c r="A11" s="74" t="s">
        <v>54</v>
      </c>
      <c r="B11" s="82" t="s">
        <v>63</v>
      </c>
      <c r="C11" s="74" t="s">
        <v>64</v>
      </c>
      <c r="D11" s="74" t="s">
        <v>65</v>
      </c>
      <c r="E11" s="103" t="s">
        <v>227</v>
      </c>
      <c r="F11" s="74" t="s">
        <v>67</v>
      </c>
      <c r="G11" s="74" t="s">
        <v>68</v>
      </c>
      <c r="H11" s="74"/>
      <c r="I11" s="74"/>
      <c r="J11" s="74" t="s">
        <v>70</v>
      </c>
    </row>
    <row r="12" spans="1:11" s="12" customFormat="1" x14ac:dyDescent="0.2">
      <c r="A12" s="15" t="str">
        <f>IF(Allgemein!C43=0,"",Allgemein!C43)</f>
        <v>Arbeitsergebnisse</v>
      </c>
      <c r="B12" s="28" t="s">
        <v>353</v>
      </c>
      <c r="C12" s="28"/>
      <c r="D12" s="28"/>
      <c r="E12" s="104"/>
      <c r="F12" s="28"/>
      <c r="G12" s="28"/>
      <c r="H12" s="28"/>
      <c r="I12" s="28"/>
      <c r="J12" s="83"/>
      <c r="K12" s="16"/>
    </row>
    <row r="13" spans="1:11" s="12" customFormat="1" ht="11.45" customHeight="1" x14ac:dyDescent="0.2">
      <c r="A13" s="15" t="str">
        <f>IF(Allgemein!C44=0,"",Allgemein!C44)</f>
        <v>Projektdokumentation</v>
      </c>
      <c r="B13" s="28" t="s">
        <v>353</v>
      </c>
      <c r="C13" s="28"/>
      <c r="D13" s="28"/>
      <c r="E13" s="104"/>
      <c r="F13" s="28"/>
      <c r="G13" s="28"/>
      <c r="H13" s="28"/>
      <c r="I13" s="28"/>
      <c r="J13" s="83"/>
      <c r="K13" s="16"/>
    </row>
    <row r="14" spans="1:11" s="12" customFormat="1" ht="24" x14ac:dyDescent="0.2">
      <c r="A14" s="15" t="str">
        <f>IF(Allgemein!C45=0,"",Allgemein!C45)</f>
        <v>IT-System- und Dokumentenmanagement</v>
      </c>
      <c r="B14" s="28" t="s">
        <v>343</v>
      </c>
      <c r="C14" s="28" t="s">
        <v>262</v>
      </c>
      <c r="D14" s="28" t="s">
        <v>262</v>
      </c>
      <c r="E14" s="104"/>
      <c r="F14" s="28" t="s">
        <v>262</v>
      </c>
      <c r="G14" s="28" t="s">
        <v>356</v>
      </c>
      <c r="H14" s="28"/>
      <c r="I14" s="28"/>
      <c r="J14" s="83"/>
      <c r="K14" s="16"/>
    </row>
    <row r="15" spans="1:11" s="12" customFormat="1" x14ac:dyDescent="0.2">
      <c r="A15" s="15" t="str">
        <f>IF(Allgemein!C46=0,"",Allgemein!C46)</f>
        <v>Altprojektdatenbank</v>
      </c>
      <c r="B15" s="28" t="s">
        <v>353</v>
      </c>
      <c r="C15" s="28"/>
      <c r="D15" s="28"/>
      <c r="E15" s="104"/>
      <c r="F15" s="28"/>
      <c r="G15" s="28"/>
      <c r="H15" s="28"/>
      <c r="I15" s="28"/>
      <c r="J15" s="83"/>
      <c r="K15" s="16"/>
    </row>
    <row r="16" spans="1:11" s="12" customFormat="1" ht="24" x14ac:dyDescent="0.2">
      <c r="A16" s="15" t="str">
        <f>IF(Allgemein!C47=0,"",Allgemein!C47)</f>
        <v>Projektfeinplanung (Arbeitspakete - Git Tickets)</v>
      </c>
      <c r="B16" s="28" t="s">
        <v>353</v>
      </c>
      <c r="C16" s="28"/>
      <c r="D16" s="28"/>
      <c r="E16" s="104"/>
      <c r="F16" s="28"/>
      <c r="G16" s="28"/>
      <c r="H16" s="28"/>
      <c r="I16" s="28"/>
      <c r="J16" s="28"/>
      <c r="K16" s="16"/>
    </row>
    <row r="17" spans="1:11" s="12" customFormat="1" x14ac:dyDescent="0.2">
      <c r="A17" s="15" t="str">
        <f>IF(Allgemein!C48=0,"",Allgemein!C48)</f>
        <v>Projektgrobplanung</v>
      </c>
      <c r="B17" s="28" t="s">
        <v>353</v>
      </c>
      <c r="C17" s="28"/>
      <c r="D17" s="28"/>
      <c r="E17" s="104"/>
      <c r="F17" s="28"/>
      <c r="G17" s="28"/>
      <c r="H17" s="28"/>
      <c r="I17" s="28"/>
      <c r="J17" s="28"/>
      <c r="K17" s="16"/>
    </row>
    <row r="18" spans="1:11" s="12" customFormat="1" x14ac:dyDescent="0.2">
      <c r="A18" s="15" t="str">
        <f>IF(Allgemein!C49=0,"",Allgemein!C49)</f>
        <v>Rechnungsmanagement</v>
      </c>
      <c r="B18" s="28" t="s">
        <v>343</v>
      </c>
      <c r="C18" s="28" t="s">
        <v>263</v>
      </c>
      <c r="D18" s="28" t="s">
        <v>263</v>
      </c>
      <c r="E18" s="104"/>
      <c r="F18" s="28" t="s">
        <v>262</v>
      </c>
      <c r="G18" s="28" t="s">
        <v>358</v>
      </c>
      <c r="H18" s="28"/>
      <c r="I18" s="28"/>
      <c r="J18" s="28"/>
      <c r="K18" s="16"/>
    </row>
    <row r="19" spans="1:11" s="12" customFormat="1" ht="24" x14ac:dyDescent="0.2">
      <c r="A19" s="15" t="str">
        <f>IF(Allgemein!C50=0,"",Allgemein!C50)</f>
        <v>Projektbasierte Risikoanalyse</v>
      </c>
      <c r="B19" s="28" t="s">
        <v>343</v>
      </c>
      <c r="C19" s="28" t="s">
        <v>263</v>
      </c>
      <c r="D19" s="28" t="s">
        <v>263</v>
      </c>
      <c r="E19" s="104"/>
      <c r="F19" s="28" t="s">
        <v>262</v>
      </c>
      <c r="G19" s="28" t="s">
        <v>356</v>
      </c>
      <c r="H19" s="28"/>
      <c r="I19" s="28"/>
      <c r="J19" s="28"/>
      <c r="K19" s="16"/>
    </row>
    <row r="20" spans="1:11" s="12" customFormat="1" ht="24" x14ac:dyDescent="0.2">
      <c r="A20" s="15" t="str">
        <f>IF(Allgemein!C51=0,"",Allgemein!C51)</f>
        <v>Wiki Wissensdatenbank</v>
      </c>
      <c r="B20" s="28" t="s">
        <v>343</v>
      </c>
      <c r="C20" s="28" t="s">
        <v>262</v>
      </c>
      <c r="D20" s="28" t="s">
        <v>262</v>
      </c>
      <c r="E20" s="104"/>
      <c r="F20" s="28" t="s">
        <v>262</v>
      </c>
      <c r="G20" s="28" t="s">
        <v>356</v>
      </c>
      <c r="H20" s="28"/>
      <c r="I20" s="28"/>
      <c r="J20" s="28"/>
      <c r="K20" s="16"/>
    </row>
    <row r="21" spans="1:11" s="12" customFormat="1" x14ac:dyDescent="0.2">
      <c r="A21" s="15" t="str">
        <f>IF(Allgemein!C52=0,"",Allgemein!C52)</f>
        <v>Source Code</v>
      </c>
      <c r="B21" s="28" t="s">
        <v>353</v>
      </c>
      <c r="C21" s="28"/>
      <c r="D21" s="28"/>
      <c r="E21" s="104"/>
      <c r="F21" s="28"/>
      <c r="G21" s="28"/>
      <c r="H21" s="28"/>
      <c r="I21" s="28"/>
      <c r="J21" s="28"/>
      <c r="K21" s="16"/>
    </row>
    <row r="22" spans="1:11" s="12" customFormat="1" x14ac:dyDescent="0.2">
      <c r="A22" s="15" t="str">
        <f>IF(Allgemein!C53=0,"",Allgemein!C53)</f>
        <v>Missionsdaten</v>
      </c>
      <c r="B22" s="28" t="s">
        <v>353</v>
      </c>
      <c r="C22" s="28"/>
      <c r="D22" s="28"/>
      <c r="E22" s="104"/>
      <c r="F22" s="28"/>
      <c r="G22" s="28"/>
      <c r="H22" s="28"/>
      <c r="I22" s="28"/>
      <c r="J22" s="28"/>
      <c r="K22" s="16"/>
    </row>
    <row r="23" spans="1:11" s="12" customFormat="1" x14ac:dyDescent="0.2">
      <c r="A23" s="15" t="str">
        <f>IF(Allgemein!C54=0,"",Allgemein!C54)</f>
        <v>Schlüsselmaterial Mission</v>
      </c>
      <c r="B23" s="28" t="s">
        <v>353</v>
      </c>
      <c r="C23" s="28"/>
      <c r="D23" s="28"/>
      <c r="E23" s="104"/>
      <c r="F23" s="28"/>
      <c r="G23" s="28"/>
      <c r="H23" s="28"/>
      <c r="I23" s="28"/>
      <c r="J23" s="28"/>
      <c r="K23" s="16"/>
    </row>
    <row r="24" spans="1:11" s="12" customFormat="1" x14ac:dyDescent="0.2">
      <c r="A24" s="15" t="str">
        <f>IF(Allgemein!C55=0,"",Allgemein!C55)</f>
        <v/>
      </c>
      <c r="B24" s="28"/>
      <c r="C24" s="28"/>
      <c r="D24" s="28"/>
      <c r="E24" s="104"/>
      <c r="F24" s="28"/>
      <c r="G24" s="28"/>
      <c r="H24" s="28"/>
      <c r="I24" s="28"/>
      <c r="J24" s="28"/>
      <c r="K24" s="16"/>
    </row>
    <row r="25" spans="1:11" s="12" customFormat="1" x14ac:dyDescent="0.2">
      <c r="A25" s="15" t="str">
        <f>IF(Allgemein!C56=0,"",Allgemein!C56)</f>
        <v/>
      </c>
      <c r="B25" s="28"/>
      <c r="C25" s="28"/>
      <c r="D25" s="28"/>
      <c r="E25" s="104"/>
      <c r="F25" s="28"/>
      <c r="G25" s="28"/>
      <c r="H25" s="28"/>
      <c r="I25" s="28"/>
      <c r="J25" s="28"/>
      <c r="K25" s="16"/>
    </row>
    <row r="26" spans="1:11" s="12" customFormat="1" x14ac:dyDescent="0.2">
      <c r="A26" s="15" t="str">
        <f>IF(Allgemein!C57=0,"",Allgemein!C57)</f>
        <v/>
      </c>
      <c r="B26" s="28"/>
      <c r="C26" s="28"/>
      <c r="D26" s="28"/>
      <c r="E26" s="104"/>
      <c r="F26" s="28"/>
      <c r="G26" s="28"/>
      <c r="H26" s="28"/>
      <c r="I26" s="28"/>
      <c r="J26" s="28"/>
      <c r="K26" s="16"/>
    </row>
    <row r="27" spans="1:11" s="12" customFormat="1" hidden="1" x14ac:dyDescent="0.2">
      <c r="A27" s="15" t="str">
        <f>IF(Allgemein!C58=0,"",Allgemein!C58)</f>
        <v/>
      </c>
      <c r="B27" s="28"/>
      <c r="C27" s="28"/>
      <c r="D27" s="28"/>
      <c r="E27" s="104"/>
      <c r="F27" s="28"/>
      <c r="G27" s="28"/>
      <c r="H27" s="28"/>
      <c r="I27" s="28"/>
      <c r="J27" s="28"/>
      <c r="K27" s="16"/>
    </row>
    <row r="28" spans="1:11" s="12" customFormat="1" hidden="1" x14ac:dyDescent="0.2">
      <c r="A28" s="15" t="str">
        <f>IF(Allgemein!C59=0,"",Allgemein!C59)</f>
        <v/>
      </c>
      <c r="B28" s="28"/>
      <c r="C28" s="28"/>
      <c r="D28" s="28"/>
      <c r="E28" s="104"/>
      <c r="F28" s="28"/>
      <c r="G28" s="28"/>
      <c r="H28" s="28"/>
      <c r="I28" s="28"/>
      <c r="J28" s="28"/>
      <c r="K28" s="16"/>
    </row>
    <row r="29" spans="1:11" s="12" customFormat="1" hidden="1" x14ac:dyDescent="0.2">
      <c r="A29" s="15" t="str">
        <f>IF(Allgemein!C60=0,"",Allgemein!C60)</f>
        <v/>
      </c>
      <c r="B29" s="28"/>
      <c r="C29" s="28"/>
      <c r="D29" s="28"/>
      <c r="E29" s="104"/>
      <c r="F29" s="28"/>
      <c r="G29" s="28"/>
      <c r="H29" s="28"/>
      <c r="I29" s="28"/>
      <c r="J29" s="28"/>
      <c r="K29" s="16"/>
    </row>
    <row r="30" spans="1:11" s="12" customFormat="1" hidden="1" x14ac:dyDescent="0.2">
      <c r="A30" s="15" t="str">
        <f>IF(Allgemein!C61=0,"",Allgemein!C61)</f>
        <v/>
      </c>
      <c r="B30" s="28"/>
      <c r="C30" s="28"/>
      <c r="D30" s="28"/>
      <c r="E30" s="104"/>
      <c r="F30" s="28"/>
      <c r="G30" s="28"/>
      <c r="H30" s="28"/>
      <c r="I30" s="28"/>
      <c r="J30" s="28"/>
      <c r="K30" s="16"/>
    </row>
    <row r="31" spans="1:11" s="12" customFormat="1" hidden="1" x14ac:dyDescent="0.2">
      <c r="A31" s="15" t="str">
        <f>IF(Allgemein!C62=0,"",Allgemein!C62)</f>
        <v/>
      </c>
      <c r="B31" s="28"/>
      <c r="C31" s="28"/>
      <c r="D31" s="28"/>
      <c r="E31" s="104"/>
      <c r="F31" s="28"/>
      <c r="G31" s="28"/>
      <c r="H31" s="28"/>
      <c r="I31" s="28"/>
      <c r="J31" s="28"/>
      <c r="K31" s="16"/>
    </row>
    <row r="32" spans="1:11" s="12" customFormat="1" hidden="1" x14ac:dyDescent="0.2">
      <c r="A32" s="15" t="str">
        <f>IF(Allgemein!C63=0,"",Allgemein!C63)</f>
        <v/>
      </c>
      <c r="B32" s="28"/>
      <c r="C32" s="28"/>
      <c r="D32" s="28"/>
      <c r="E32" s="104"/>
      <c r="F32" s="28"/>
      <c r="G32" s="28"/>
      <c r="H32" s="28"/>
      <c r="I32" s="28"/>
      <c r="J32" s="28"/>
      <c r="K32" s="16"/>
    </row>
    <row r="33" spans="1:11" s="12" customFormat="1" hidden="1" x14ac:dyDescent="0.2">
      <c r="A33" s="15" t="str">
        <f>IF(Allgemein!C64=0,"",Allgemein!C64)</f>
        <v/>
      </c>
      <c r="B33" s="28"/>
      <c r="C33" s="28"/>
      <c r="D33" s="28"/>
      <c r="E33" s="104"/>
      <c r="F33" s="28"/>
      <c r="G33" s="28"/>
      <c r="H33" s="28"/>
      <c r="I33" s="28"/>
      <c r="J33" s="28"/>
      <c r="K33" s="16"/>
    </row>
    <row r="34" spans="1:11" s="12" customFormat="1" hidden="1" x14ac:dyDescent="0.2">
      <c r="A34" s="15" t="str">
        <f>IF(Allgemein!C65=0,"",Allgemein!C65)</f>
        <v/>
      </c>
      <c r="B34" s="28"/>
      <c r="C34" s="28"/>
      <c r="D34" s="28"/>
      <c r="E34" s="104"/>
      <c r="F34" s="28"/>
      <c r="G34" s="28"/>
      <c r="H34" s="28"/>
      <c r="I34" s="28"/>
      <c r="J34" s="28"/>
      <c r="K34" s="16"/>
    </row>
    <row r="35" spans="1:11" s="12" customFormat="1" hidden="1" x14ac:dyDescent="0.2">
      <c r="A35" s="15" t="str">
        <f>IF(Allgemein!C66=0,"",Allgemein!C66)</f>
        <v/>
      </c>
      <c r="B35" s="28"/>
      <c r="C35" s="28"/>
      <c r="D35" s="28"/>
      <c r="E35" s="104"/>
      <c r="F35" s="28"/>
      <c r="G35" s="28"/>
      <c r="H35" s="28"/>
      <c r="I35" s="28"/>
      <c r="J35" s="28"/>
      <c r="K35" s="16"/>
    </row>
    <row r="36" spans="1:11" s="12" customFormat="1" ht="11.45" hidden="1" customHeight="1" x14ac:dyDescent="0.2">
      <c r="A36" s="15" t="str">
        <f>IF(Allgemein!C67=0,"",Allgemein!C67)</f>
        <v/>
      </c>
      <c r="B36" s="28"/>
      <c r="C36" s="28"/>
      <c r="D36" s="28"/>
      <c r="E36" s="104"/>
      <c r="F36" s="28"/>
      <c r="G36" s="28"/>
      <c r="H36" s="28"/>
      <c r="I36" s="28"/>
      <c r="J36" s="28"/>
      <c r="K36" s="16"/>
    </row>
    <row r="37" spans="1:11" s="12" customFormat="1" ht="11.45" hidden="1" customHeight="1" x14ac:dyDescent="0.2">
      <c r="A37" s="15" t="str">
        <f>IF(Allgemein!C68=0,"",Allgemein!C68)</f>
        <v/>
      </c>
      <c r="B37" s="28"/>
      <c r="C37" s="28"/>
      <c r="D37" s="28"/>
      <c r="E37" s="104"/>
      <c r="F37" s="28"/>
      <c r="G37" s="28"/>
      <c r="H37" s="28"/>
      <c r="I37" s="28"/>
      <c r="J37" s="28"/>
      <c r="K37" s="16"/>
    </row>
    <row r="38" spans="1:11" s="12" customFormat="1" hidden="1" x14ac:dyDescent="0.2">
      <c r="A38" s="15" t="str">
        <f>IF(Allgemein!C69=0,"",Allgemein!C69)</f>
        <v/>
      </c>
      <c r="B38" s="28"/>
      <c r="C38" s="28"/>
      <c r="D38" s="28"/>
      <c r="E38" s="104"/>
      <c r="F38" s="28"/>
      <c r="G38" s="28"/>
      <c r="H38" s="28"/>
      <c r="I38" s="28"/>
      <c r="J38" s="28"/>
    </row>
    <row r="39" spans="1:11" s="12" customFormat="1" hidden="1" x14ac:dyDescent="0.2">
      <c r="A39" s="15" t="str">
        <f>IF(Allgemein!C70=0,"",Allgemein!C70)</f>
        <v/>
      </c>
      <c r="B39" s="28"/>
      <c r="C39" s="28"/>
      <c r="D39" s="28"/>
      <c r="E39" s="104"/>
      <c r="F39" s="28"/>
      <c r="G39" s="28"/>
      <c r="H39" s="28"/>
      <c r="I39" s="28"/>
      <c r="J39" s="28"/>
    </row>
    <row r="40" spans="1:11" s="12" customFormat="1" hidden="1" x14ac:dyDescent="0.2">
      <c r="A40" s="15" t="str">
        <f>IF(Allgemein!C71=0,"",Allgemein!C71)</f>
        <v/>
      </c>
      <c r="B40" s="28"/>
      <c r="C40" s="28"/>
      <c r="D40" s="28"/>
      <c r="E40" s="104"/>
      <c r="F40" s="28"/>
      <c r="G40" s="28"/>
      <c r="H40" s="28"/>
      <c r="I40" s="28"/>
      <c r="J40" s="28"/>
    </row>
    <row r="41" spans="1:11" s="12" customFormat="1" ht="11.45" hidden="1" customHeight="1" x14ac:dyDescent="0.2">
      <c r="A41" s="15" t="str">
        <f>IF(Allgemein!C72=0,"",Allgemein!C72)</f>
        <v/>
      </c>
      <c r="B41" s="28"/>
      <c r="C41" s="28"/>
      <c r="D41" s="28"/>
      <c r="E41" s="104"/>
      <c r="F41" s="28"/>
      <c r="G41" s="28"/>
      <c r="H41" s="28"/>
      <c r="I41" s="28"/>
      <c r="J41" s="28"/>
    </row>
    <row r="42" spans="1:11" s="12" customFormat="1" ht="11.45" hidden="1" customHeight="1" x14ac:dyDescent="0.2">
      <c r="A42" s="15" t="str">
        <f>IF(Allgemein!C73=0,"",Allgemein!C73)</f>
        <v/>
      </c>
      <c r="B42" s="28"/>
      <c r="C42" s="28"/>
      <c r="D42" s="28"/>
      <c r="E42" s="104"/>
      <c r="F42" s="28"/>
      <c r="G42" s="28"/>
      <c r="H42" s="28"/>
      <c r="I42" s="28"/>
      <c r="J42" s="28"/>
    </row>
    <row r="43" spans="1:11" s="12" customFormat="1" ht="11.45" hidden="1" customHeight="1" x14ac:dyDescent="0.2">
      <c r="A43" s="15" t="str">
        <f>IF(Allgemein!C74=0,"",Allgemein!C74)</f>
        <v/>
      </c>
      <c r="B43" s="28"/>
      <c r="C43" s="28"/>
      <c r="D43" s="28"/>
      <c r="E43" s="104"/>
      <c r="F43" s="28"/>
      <c r="G43" s="28"/>
      <c r="H43" s="28"/>
      <c r="I43" s="28"/>
      <c r="J43" s="28"/>
    </row>
    <row r="44" spans="1:11" s="12" customFormat="1" ht="11.45" hidden="1" customHeight="1" x14ac:dyDescent="0.2">
      <c r="A44" s="15" t="str">
        <f>IF(Allgemein!C75=0,"",Allgemein!C75)</f>
        <v/>
      </c>
      <c r="B44" s="28"/>
      <c r="C44" s="28"/>
      <c r="D44" s="28"/>
      <c r="E44" s="104"/>
      <c r="F44" s="28"/>
      <c r="G44" s="28"/>
      <c r="H44" s="28"/>
      <c r="I44" s="28"/>
      <c r="J44" s="28"/>
    </row>
    <row r="45" spans="1:11" s="12" customFormat="1" ht="11.45" hidden="1" customHeight="1" x14ac:dyDescent="0.2">
      <c r="A45" s="15" t="str">
        <f>IF(Allgemein!C76=0,"",Allgemein!C76)</f>
        <v/>
      </c>
      <c r="B45" s="28"/>
      <c r="C45" s="28"/>
      <c r="D45" s="28"/>
      <c r="E45" s="104"/>
      <c r="F45" s="28"/>
      <c r="G45" s="28"/>
      <c r="H45" s="28"/>
      <c r="I45" s="28"/>
      <c r="J45" s="28"/>
    </row>
    <row r="46" spans="1:11" s="12" customFormat="1" ht="11.45" hidden="1" customHeight="1" x14ac:dyDescent="0.2">
      <c r="A46" s="15" t="str">
        <f>IF(Allgemein!C77=0,"",Allgemein!C77)</f>
        <v/>
      </c>
      <c r="B46" s="28"/>
      <c r="C46" s="28"/>
      <c r="D46" s="28"/>
      <c r="E46" s="104"/>
      <c r="F46" s="28"/>
      <c r="G46" s="28"/>
      <c r="H46" s="28"/>
      <c r="I46" s="28"/>
      <c r="J46" s="28"/>
    </row>
    <row r="47" spans="1:11" s="12" customFormat="1" ht="11.45" hidden="1" customHeight="1" x14ac:dyDescent="0.2">
      <c r="A47" s="15" t="str">
        <f>IF(Allgemein!C78=0,"",Allgemein!C78)</f>
        <v/>
      </c>
      <c r="B47" s="28"/>
      <c r="C47" s="28"/>
      <c r="D47" s="28"/>
      <c r="E47" s="104"/>
      <c r="F47" s="28"/>
      <c r="G47" s="28"/>
      <c r="H47" s="28"/>
      <c r="I47" s="28"/>
      <c r="J47" s="28"/>
    </row>
    <row r="48" spans="1:11" s="12" customFormat="1" ht="11.45" hidden="1" customHeight="1" x14ac:dyDescent="0.2">
      <c r="A48" s="15" t="str">
        <f>IF(Allgemein!C79=0,"",Allgemein!C79)</f>
        <v/>
      </c>
      <c r="B48" s="28"/>
      <c r="C48" s="28"/>
      <c r="D48" s="28"/>
      <c r="E48" s="104"/>
      <c r="F48" s="28"/>
      <c r="G48" s="28"/>
      <c r="H48" s="28"/>
      <c r="I48" s="28"/>
      <c r="J48" s="28"/>
    </row>
    <row r="49" spans="1:18" s="12" customFormat="1" ht="11.45" hidden="1" customHeight="1" x14ac:dyDescent="0.2">
      <c r="A49" s="15" t="str">
        <f>IF(Allgemein!C80=0,"",Allgemein!C80)</f>
        <v/>
      </c>
      <c r="B49" s="28"/>
      <c r="C49" s="28"/>
      <c r="D49" s="28"/>
      <c r="E49" s="104"/>
      <c r="F49" s="28"/>
      <c r="G49" s="28"/>
      <c r="H49" s="28"/>
      <c r="I49" s="28"/>
      <c r="J49" s="28"/>
    </row>
    <row r="50" spans="1:18" s="12" customFormat="1" ht="11.45" hidden="1" customHeight="1" x14ac:dyDescent="0.2">
      <c r="A50" s="15" t="str">
        <f>IF(Allgemein!C81=0,"",Allgemein!C81)</f>
        <v/>
      </c>
      <c r="B50" s="28"/>
      <c r="C50" s="28"/>
      <c r="D50" s="28"/>
      <c r="E50" s="104"/>
      <c r="F50" s="28"/>
      <c r="G50" s="28"/>
      <c r="H50" s="28"/>
      <c r="I50" s="28"/>
      <c r="J50" s="28"/>
    </row>
    <row r="51" spans="1:18" s="12" customFormat="1" ht="11.45" hidden="1" customHeight="1" x14ac:dyDescent="0.2">
      <c r="A51" s="15" t="str">
        <f>IF(Allgemein!C82=0,"",Allgemein!C82)</f>
        <v/>
      </c>
      <c r="B51" s="28"/>
      <c r="C51" s="28"/>
      <c r="D51" s="28"/>
      <c r="E51" s="104"/>
      <c r="F51" s="28"/>
      <c r="G51" s="28"/>
      <c r="H51" s="28"/>
      <c r="I51" s="28"/>
      <c r="J51" s="28"/>
    </row>
    <row r="52" spans="1:18" s="12" customFormat="1" x14ac:dyDescent="0.2"/>
    <row r="53" spans="1:18" s="12" customFormat="1" ht="18" customHeight="1" x14ac:dyDescent="0.2">
      <c r="A53" s="171" t="s">
        <v>76</v>
      </c>
      <c r="B53" s="171"/>
      <c r="C53" s="171"/>
      <c r="D53" s="171"/>
      <c r="E53" s="171"/>
      <c r="F53" s="171"/>
      <c r="G53" s="171"/>
      <c r="H53" s="171"/>
      <c r="I53" s="171"/>
      <c r="J53" s="171"/>
      <c r="K53" s="171"/>
      <c r="L53" s="171"/>
      <c r="M53" s="171"/>
      <c r="N53" s="171"/>
      <c r="O53" s="171"/>
      <c r="P53" s="171"/>
      <c r="Q53" s="171"/>
      <c r="R53" s="171"/>
    </row>
    <row r="54" spans="1:18" s="12" customFormat="1" ht="18" customHeight="1" x14ac:dyDescent="0.2">
      <c r="K54" s="172"/>
      <c r="L54" s="172"/>
      <c r="M54" s="172"/>
      <c r="N54" s="172"/>
      <c r="O54" s="172"/>
      <c r="P54" s="172"/>
      <c r="Q54" s="172"/>
      <c r="R54" s="172"/>
    </row>
    <row r="55" spans="1:18" s="12" customFormat="1" ht="24" hidden="1" x14ac:dyDescent="0.2">
      <c r="A55" s="74" t="s">
        <v>55</v>
      </c>
      <c r="B55" s="82" t="s">
        <v>63</v>
      </c>
      <c r="C55" s="153" t="s">
        <v>77</v>
      </c>
      <c r="D55" s="154"/>
      <c r="E55" s="155"/>
      <c r="F55" s="74"/>
      <c r="G55" s="153" t="s">
        <v>78</v>
      </c>
      <c r="H55" s="154"/>
      <c r="I55" s="154"/>
      <c r="J55" s="155"/>
      <c r="K55" s="74" t="str">
        <f>B151</f>
        <v>≤ 1 d</v>
      </c>
      <c r="L55" s="74" t="str">
        <f t="shared" ref="L55:R55" si="0">C151</f>
        <v>≤ 3 d</v>
      </c>
      <c r="M55" s="74" t="str">
        <f t="shared" si="0"/>
        <v>≤ 7 d</v>
      </c>
      <c r="N55" s="74" t="str">
        <f t="shared" si="0"/>
        <v>≤ 7 d</v>
      </c>
      <c r="O55" s="74" t="str">
        <f t="shared" si="0"/>
        <v>≤ 14 d</v>
      </c>
      <c r="P55" s="74">
        <f t="shared" si="0"/>
        <v>0</v>
      </c>
      <c r="Q55" s="74" t="str">
        <f t="shared" si="0"/>
        <v/>
      </c>
      <c r="R55" s="74" t="str">
        <f t="shared" si="0"/>
        <v/>
      </c>
    </row>
    <row r="56" spans="1:18" s="12" customFormat="1" hidden="1" x14ac:dyDescent="0.2">
      <c r="A56" s="15" t="str">
        <f>IF(Allgemein!F43=0,"",Allgemein!F43)</f>
        <v>Technische Universität Berlin</v>
      </c>
      <c r="B56" s="28"/>
      <c r="C56" s="163"/>
      <c r="D56" s="164"/>
      <c r="E56" s="165"/>
      <c r="F56" s="28"/>
      <c r="G56" s="163"/>
      <c r="H56" s="164"/>
      <c r="I56" s="164"/>
      <c r="J56" s="165"/>
      <c r="K56" s="77"/>
      <c r="L56" s="77"/>
      <c r="M56" s="77"/>
      <c r="N56" s="77"/>
      <c r="O56" s="77"/>
      <c r="P56" s="77"/>
      <c r="Q56" s="77"/>
      <c r="R56" s="77"/>
    </row>
    <row r="57" spans="1:18" s="12" customFormat="1" ht="12" hidden="1" customHeight="1" x14ac:dyDescent="0.2">
      <c r="A57" s="15" t="str">
        <f>IF(Allgemein!F44=0,"",Allgemein!F44)</f>
        <v>Deutsches Luft- und Raumfahrtzentrum</v>
      </c>
      <c r="B57" s="28"/>
      <c r="C57" s="163"/>
      <c r="D57" s="164"/>
      <c r="E57" s="165"/>
      <c r="F57" s="28"/>
      <c r="G57" s="163"/>
      <c r="H57" s="164"/>
      <c r="I57" s="164"/>
      <c r="J57" s="165"/>
      <c r="K57" s="77"/>
      <c r="L57" s="77"/>
      <c r="M57" s="77"/>
      <c r="N57" s="77"/>
      <c r="O57" s="77"/>
      <c r="P57" s="77"/>
      <c r="Q57" s="77"/>
      <c r="R57" s="77"/>
    </row>
    <row r="58" spans="1:18" s="12" customFormat="1" ht="24" hidden="1" x14ac:dyDescent="0.2">
      <c r="A58" s="15" t="str">
        <f>IF(Allgemein!F45=0,"",Allgemein!F45)</f>
        <v>Deutsches Zentrum für Satelliten-Kommunikation</v>
      </c>
      <c r="B58" s="28"/>
      <c r="C58" s="163"/>
      <c r="D58" s="164"/>
      <c r="E58" s="165"/>
      <c r="F58" s="28"/>
      <c r="G58" s="163"/>
      <c r="H58" s="164"/>
      <c r="I58" s="164"/>
      <c r="J58" s="165"/>
      <c r="K58" s="77"/>
      <c r="L58" s="77"/>
      <c r="M58" s="77"/>
      <c r="N58" s="77"/>
      <c r="O58" s="77"/>
      <c r="P58" s="77"/>
      <c r="Q58" s="77"/>
      <c r="R58" s="77"/>
    </row>
    <row r="59" spans="1:18" s="12" customFormat="1" hidden="1" x14ac:dyDescent="0.2">
      <c r="A59" s="15" t="str">
        <f>IF(Allgemein!F46=0,"",Allgemein!F46)</f>
        <v>bdew/Vattenfall</v>
      </c>
      <c r="B59" s="28"/>
      <c r="C59" s="163"/>
      <c r="D59" s="164"/>
      <c r="E59" s="165"/>
      <c r="F59" s="28"/>
      <c r="G59" s="163"/>
      <c r="H59" s="164"/>
      <c r="I59" s="164"/>
      <c r="J59" s="165"/>
      <c r="K59" s="77"/>
      <c r="L59" s="77"/>
      <c r="M59" s="77"/>
      <c r="N59" s="77"/>
      <c r="O59" s="77"/>
      <c r="P59" s="77"/>
      <c r="Q59" s="77"/>
      <c r="R59" s="77"/>
    </row>
    <row r="60" spans="1:18" s="12" customFormat="1" ht="12" hidden="1" customHeight="1" x14ac:dyDescent="0.2">
      <c r="A60" s="15" t="str">
        <f>IF(Allgemein!F47=0,"",Allgemein!F47)</f>
        <v>Ruhr-Universität Bochum</v>
      </c>
      <c r="B60" s="28"/>
      <c r="C60" s="163"/>
      <c r="D60" s="164"/>
      <c r="E60" s="165"/>
      <c r="F60" s="28"/>
      <c r="G60" s="163"/>
      <c r="H60" s="164"/>
      <c r="I60" s="164"/>
      <c r="J60" s="165"/>
      <c r="K60" s="77"/>
      <c r="L60" s="77"/>
      <c r="M60" s="77"/>
      <c r="N60" s="77"/>
      <c r="O60" s="77"/>
      <c r="P60" s="77"/>
      <c r="Q60" s="77"/>
      <c r="R60" s="77"/>
    </row>
    <row r="61" spans="1:18" s="12" customFormat="1" hidden="1" x14ac:dyDescent="0.2">
      <c r="A61" s="15" t="str">
        <f>IF(Allgemein!F48=0,"",Allgemein!F48)</f>
        <v>QuantiCor</v>
      </c>
      <c r="B61" s="28"/>
      <c r="C61" s="163"/>
      <c r="D61" s="164"/>
      <c r="E61" s="165"/>
      <c r="F61" s="28"/>
      <c r="G61" s="163"/>
      <c r="H61" s="164"/>
      <c r="I61" s="164"/>
      <c r="J61" s="165"/>
      <c r="K61" s="77"/>
      <c r="L61" s="77"/>
      <c r="M61" s="77"/>
      <c r="N61" s="77"/>
      <c r="O61" s="77"/>
      <c r="P61" s="77"/>
      <c r="Q61" s="77"/>
      <c r="R61" s="77"/>
    </row>
    <row r="62" spans="1:18" s="12" customFormat="1" hidden="1" x14ac:dyDescent="0.2">
      <c r="A62" s="15" t="str">
        <f>IF(Allgemein!F49=0,"",Allgemein!F49)</f>
        <v>Berlin Nanosatellite Alliance</v>
      </c>
      <c r="B62" s="28"/>
      <c r="C62" s="163"/>
      <c r="D62" s="164"/>
      <c r="E62" s="165"/>
      <c r="F62" s="28"/>
      <c r="G62" s="163"/>
      <c r="H62" s="164"/>
      <c r="I62" s="164"/>
      <c r="J62" s="165"/>
      <c r="K62" s="77"/>
      <c r="L62" s="77"/>
      <c r="M62" s="77"/>
      <c r="N62" s="77"/>
      <c r="O62" s="77"/>
      <c r="P62" s="77"/>
      <c r="Q62" s="77"/>
      <c r="R62" s="77"/>
    </row>
    <row r="63" spans="1:18" s="12" customFormat="1" ht="12" hidden="1" customHeight="1" x14ac:dyDescent="0.2">
      <c r="A63" s="15" t="str">
        <f>IF(Allgemein!F50=0,"",Allgemein!F50)</f>
        <v/>
      </c>
      <c r="B63" s="28"/>
      <c r="C63" s="163"/>
      <c r="D63" s="164"/>
      <c r="E63" s="165"/>
      <c r="F63" s="28"/>
      <c r="G63" s="163"/>
      <c r="H63" s="164"/>
      <c r="I63" s="164"/>
      <c r="J63" s="165"/>
      <c r="K63" s="77"/>
      <c r="L63" s="77"/>
      <c r="M63" s="77"/>
      <c r="N63" s="77"/>
      <c r="O63" s="77"/>
      <c r="P63" s="77"/>
      <c r="Q63" s="77"/>
      <c r="R63" s="77"/>
    </row>
    <row r="64" spans="1:18" s="12" customFormat="1" hidden="1" x14ac:dyDescent="0.2">
      <c r="A64" s="15" t="str">
        <f>IF(Allgemein!F51=0,"",Allgemein!F51)</f>
        <v/>
      </c>
      <c r="B64" s="28"/>
      <c r="C64" s="163"/>
      <c r="D64" s="164"/>
      <c r="E64" s="165"/>
      <c r="F64" s="28"/>
      <c r="G64" s="163"/>
      <c r="H64" s="164"/>
      <c r="I64" s="164"/>
      <c r="J64" s="165"/>
      <c r="K64" s="77"/>
      <c r="L64" s="77"/>
      <c r="M64" s="77"/>
      <c r="N64" s="77"/>
      <c r="O64" s="77"/>
      <c r="P64" s="77"/>
      <c r="Q64" s="77"/>
      <c r="R64" s="77"/>
    </row>
    <row r="65" spans="1:18" s="12" customFormat="1" hidden="1" x14ac:dyDescent="0.2">
      <c r="A65" s="15" t="str">
        <f>IF(Allgemein!F52=0,"",Allgemein!F52)</f>
        <v/>
      </c>
      <c r="B65" s="28"/>
      <c r="C65" s="163"/>
      <c r="D65" s="164"/>
      <c r="E65" s="165"/>
      <c r="F65" s="28"/>
      <c r="G65" s="163"/>
      <c r="H65" s="164"/>
      <c r="I65" s="164"/>
      <c r="J65" s="165"/>
      <c r="K65" s="77"/>
      <c r="L65" s="77"/>
      <c r="M65" s="77"/>
      <c r="N65" s="77"/>
      <c r="O65" s="77"/>
      <c r="P65" s="77"/>
      <c r="Q65" s="77"/>
      <c r="R65" s="77"/>
    </row>
    <row r="66" spans="1:18" s="12" customFormat="1" hidden="1" x14ac:dyDescent="0.2">
      <c r="A66" s="15" t="str">
        <f>IF(Allgemein!F53=0,"",Allgemein!F53)</f>
        <v/>
      </c>
      <c r="B66" s="28"/>
      <c r="C66" s="163"/>
      <c r="D66" s="164"/>
      <c r="E66" s="165"/>
      <c r="F66" s="28"/>
      <c r="G66" s="163"/>
      <c r="H66" s="164"/>
      <c r="I66" s="164"/>
      <c r="J66" s="165"/>
      <c r="K66" s="77"/>
      <c r="L66" s="77"/>
      <c r="M66" s="77"/>
      <c r="N66" s="77"/>
      <c r="O66" s="77"/>
      <c r="P66" s="77"/>
      <c r="Q66" s="77"/>
      <c r="R66" s="77"/>
    </row>
    <row r="67" spans="1:18" s="12" customFormat="1" hidden="1" x14ac:dyDescent="0.2">
      <c r="A67" s="15" t="str">
        <f>IF(Allgemein!F54=0,"",Allgemein!F54)</f>
        <v/>
      </c>
      <c r="B67" s="28"/>
      <c r="C67" s="163"/>
      <c r="D67" s="164"/>
      <c r="E67" s="165"/>
      <c r="F67" s="28"/>
      <c r="G67" s="163"/>
      <c r="H67" s="164"/>
      <c r="I67" s="164"/>
      <c r="J67" s="165"/>
      <c r="K67" s="77"/>
      <c r="L67" s="77"/>
      <c r="M67" s="77"/>
      <c r="N67" s="77"/>
      <c r="O67" s="77"/>
      <c r="P67" s="77"/>
      <c r="Q67" s="77"/>
      <c r="R67" s="77"/>
    </row>
    <row r="68" spans="1:18" s="12" customFormat="1" hidden="1" x14ac:dyDescent="0.2">
      <c r="A68" s="15" t="str">
        <f>IF(Allgemein!F55=0,"",Allgemein!F55)</f>
        <v/>
      </c>
      <c r="B68" s="28"/>
      <c r="C68" s="163"/>
      <c r="D68" s="164"/>
      <c r="E68" s="165"/>
      <c r="F68" s="28"/>
      <c r="G68" s="163"/>
      <c r="H68" s="164"/>
      <c r="I68" s="164"/>
      <c r="J68" s="165"/>
      <c r="K68" s="77"/>
      <c r="L68" s="77"/>
      <c r="M68" s="77"/>
      <c r="N68" s="77"/>
      <c r="O68" s="77"/>
      <c r="P68" s="77"/>
      <c r="Q68" s="77"/>
      <c r="R68" s="77"/>
    </row>
    <row r="69" spans="1:18" s="12" customFormat="1" hidden="1" x14ac:dyDescent="0.2">
      <c r="A69" s="15" t="str">
        <f>IF(Allgemein!F56=0,"",Allgemein!F56)</f>
        <v/>
      </c>
      <c r="B69" s="28"/>
      <c r="C69" s="163"/>
      <c r="D69" s="164"/>
      <c r="E69" s="165"/>
      <c r="F69" s="28"/>
      <c r="G69" s="163"/>
      <c r="H69" s="164"/>
      <c r="I69" s="164"/>
      <c r="J69" s="165"/>
      <c r="K69" s="77"/>
      <c r="L69" s="77"/>
      <c r="M69" s="77"/>
      <c r="N69" s="77"/>
      <c r="O69" s="77"/>
      <c r="P69" s="77"/>
      <c r="Q69" s="77"/>
      <c r="R69" s="77"/>
    </row>
    <row r="70" spans="1:18" s="12" customFormat="1" hidden="1" x14ac:dyDescent="0.2">
      <c r="A70" s="15" t="str">
        <f>IF(Allgemein!F57=0,"",Allgemein!F57)</f>
        <v/>
      </c>
      <c r="B70" s="28"/>
      <c r="C70" s="163"/>
      <c r="D70" s="164"/>
      <c r="E70" s="165"/>
      <c r="F70" s="28"/>
      <c r="G70" s="163"/>
      <c r="H70" s="164"/>
      <c r="I70" s="164"/>
      <c r="J70" s="165"/>
      <c r="K70" s="77"/>
      <c r="L70" s="77"/>
      <c r="M70" s="77"/>
      <c r="N70" s="77"/>
      <c r="O70" s="77"/>
      <c r="P70" s="77"/>
      <c r="Q70" s="77"/>
      <c r="R70" s="77"/>
    </row>
    <row r="71" spans="1:18" s="12" customFormat="1" hidden="1" x14ac:dyDescent="0.2">
      <c r="A71" s="15" t="str">
        <f>IF(Allgemein!F58=0,"",Allgemein!F58)</f>
        <v/>
      </c>
      <c r="B71" s="28"/>
      <c r="C71" s="163"/>
      <c r="D71" s="164"/>
      <c r="E71" s="165"/>
      <c r="F71" s="28"/>
      <c r="G71" s="163"/>
      <c r="H71" s="164"/>
      <c r="I71" s="164"/>
      <c r="J71" s="165"/>
      <c r="K71" s="77"/>
      <c r="L71" s="77"/>
      <c r="M71" s="77"/>
      <c r="N71" s="77"/>
      <c r="O71" s="77"/>
      <c r="P71" s="77"/>
      <c r="Q71" s="77"/>
      <c r="R71" s="77"/>
    </row>
    <row r="72" spans="1:18" s="12" customFormat="1" hidden="1" x14ac:dyDescent="0.2">
      <c r="A72" s="15" t="str">
        <f>IF(Allgemein!F59=0,"",Allgemein!F59)</f>
        <v/>
      </c>
      <c r="B72" s="28"/>
      <c r="C72" s="163"/>
      <c r="D72" s="164"/>
      <c r="E72" s="165"/>
      <c r="F72" s="28"/>
      <c r="G72" s="163"/>
      <c r="H72" s="164"/>
      <c r="I72" s="164"/>
      <c r="J72" s="165"/>
      <c r="K72" s="77"/>
      <c r="L72" s="77"/>
      <c r="M72" s="77"/>
      <c r="N72" s="77"/>
      <c r="O72" s="77"/>
      <c r="P72" s="77"/>
      <c r="Q72" s="77"/>
      <c r="R72" s="77"/>
    </row>
    <row r="73" spans="1:18" s="12" customFormat="1" hidden="1" x14ac:dyDescent="0.2">
      <c r="A73" s="15" t="str">
        <f>IF(Allgemein!F60=0,"",Allgemein!F60)</f>
        <v/>
      </c>
      <c r="B73" s="28"/>
      <c r="C73" s="163"/>
      <c r="D73" s="164"/>
      <c r="E73" s="165"/>
      <c r="F73" s="28"/>
      <c r="G73" s="163"/>
      <c r="H73" s="164"/>
      <c r="I73" s="164"/>
      <c r="J73" s="165"/>
      <c r="K73" s="77"/>
      <c r="L73" s="77"/>
      <c r="M73" s="77"/>
      <c r="N73" s="77"/>
      <c r="O73" s="77"/>
      <c r="P73" s="77"/>
      <c r="Q73" s="77"/>
      <c r="R73" s="77"/>
    </row>
    <row r="74" spans="1:18" s="12" customFormat="1" hidden="1" x14ac:dyDescent="0.2">
      <c r="A74" s="15" t="str">
        <f>IF(Allgemein!F61=0,"",Allgemein!F61)</f>
        <v/>
      </c>
      <c r="B74" s="28"/>
      <c r="C74" s="163"/>
      <c r="D74" s="164"/>
      <c r="E74" s="165"/>
      <c r="F74" s="28"/>
      <c r="G74" s="163"/>
      <c r="H74" s="164"/>
      <c r="I74" s="164"/>
      <c r="J74" s="165"/>
      <c r="K74" s="77"/>
      <c r="L74" s="77"/>
      <c r="M74" s="77"/>
      <c r="N74" s="77"/>
      <c r="O74" s="77"/>
      <c r="P74" s="77"/>
      <c r="Q74" s="77"/>
      <c r="R74" s="77"/>
    </row>
    <row r="75" spans="1:18" s="12" customFormat="1" hidden="1" x14ac:dyDescent="0.2">
      <c r="A75" s="15" t="str">
        <f>IF(Allgemein!F62=0,"",Allgemein!F62)</f>
        <v/>
      </c>
      <c r="B75" s="28"/>
      <c r="C75" s="163"/>
      <c r="D75" s="164"/>
      <c r="E75" s="165"/>
      <c r="F75" s="28"/>
      <c r="G75" s="163"/>
      <c r="H75" s="164"/>
      <c r="I75" s="164"/>
      <c r="J75" s="165"/>
      <c r="K75" s="77"/>
      <c r="L75" s="77"/>
      <c r="M75" s="77"/>
      <c r="N75" s="77"/>
      <c r="O75" s="77"/>
      <c r="P75" s="77"/>
      <c r="Q75" s="77"/>
      <c r="R75" s="77"/>
    </row>
    <row r="76" spans="1:18" s="12" customFormat="1" hidden="1" x14ac:dyDescent="0.2"/>
    <row r="77" spans="1:18" s="12" customFormat="1" ht="24" hidden="1" customHeight="1" x14ac:dyDescent="0.2">
      <c r="A77" s="74" t="s">
        <v>58</v>
      </c>
      <c r="B77" s="82" t="s">
        <v>63</v>
      </c>
      <c r="C77" s="74" t="s">
        <v>69</v>
      </c>
      <c r="E77" s="153" t="s">
        <v>79</v>
      </c>
      <c r="F77" s="155"/>
      <c r="G77" s="74" t="s">
        <v>63</v>
      </c>
      <c r="H77" s="74" t="s">
        <v>69</v>
      </c>
    </row>
    <row r="78" spans="1:18" s="12" customFormat="1" hidden="1" x14ac:dyDescent="0.2">
      <c r="A78" s="22" t="str">
        <f>IF(Allgemein!P43=0,"",Allgemein!P43)</f>
        <v/>
      </c>
      <c r="B78" s="27"/>
      <c r="C78" s="28"/>
      <c r="E78" s="163" t="str">
        <f>IF(Allgemein!N43=0,"",Allgemein!N43)</f>
        <v>Mobiler Arbeitsplatz</v>
      </c>
      <c r="F78" s="165"/>
      <c r="G78" s="28"/>
      <c r="H78" s="28"/>
    </row>
    <row r="79" spans="1:18" s="12" customFormat="1" hidden="1" x14ac:dyDescent="0.2">
      <c r="A79" s="22" t="str">
        <f>IF(Allgemein!P44=0,"",Allgemein!P44)</f>
        <v/>
      </c>
      <c r="B79" s="27"/>
      <c r="C79" s="28"/>
      <c r="E79" s="163" t="str">
        <f>IF(Allgemein!N44=0,"",Allgemein!N44)</f>
        <v>Scanner (Dokument)</v>
      </c>
      <c r="F79" s="165"/>
      <c r="G79" s="28"/>
      <c r="H79" s="28"/>
    </row>
    <row r="80" spans="1:18" s="12" customFormat="1" ht="12" hidden="1" customHeight="1" x14ac:dyDescent="0.2">
      <c r="A80" s="22" t="str">
        <f>IF(Allgemein!P45=0,"",Allgemein!P45)</f>
        <v/>
      </c>
      <c r="B80" s="27"/>
      <c r="C80" s="28"/>
      <c r="E80" s="163" t="str">
        <f>IF(Allgemein!N45=0,"",Allgemein!N45)</f>
        <v>Drucker (normal)</v>
      </c>
      <c r="F80" s="165"/>
      <c r="G80" s="28"/>
      <c r="H80" s="28"/>
    </row>
    <row r="81" spans="1:8" s="12" customFormat="1" ht="12" hidden="1" customHeight="1" x14ac:dyDescent="0.2">
      <c r="A81" s="22" t="str">
        <f>IF(Allgemein!P46=0,"",Allgemein!P46)</f>
        <v/>
      </c>
      <c r="B81" s="27"/>
      <c r="C81" s="28"/>
      <c r="E81" s="163" t="str">
        <f>IF(Allgemein!N46=0,"",Allgemein!N46)</f>
        <v>Laptop</v>
      </c>
      <c r="F81" s="165"/>
      <c r="G81" s="28"/>
      <c r="H81" s="28"/>
    </row>
    <row r="82" spans="1:8" s="12" customFormat="1" ht="12" hidden="1" customHeight="1" x14ac:dyDescent="0.2">
      <c r="A82" s="22" t="str">
        <f>IF(Allgemein!P47=0,"",Allgemein!P47)</f>
        <v/>
      </c>
      <c r="B82" s="27"/>
      <c r="C82" s="28"/>
      <c r="E82" s="163" t="str">
        <f>IF(Allgemein!N47=0,"",Allgemein!N47)</f>
        <v>Router/Switch</v>
      </c>
      <c r="F82" s="165"/>
      <c r="G82" s="28"/>
      <c r="H82" s="28"/>
    </row>
    <row r="83" spans="1:8" s="12" customFormat="1" ht="12" hidden="1" customHeight="1" x14ac:dyDescent="0.2">
      <c r="A83" s="22" t="str">
        <f>IF(Allgemein!P48=0,"",Allgemein!P48)</f>
        <v/>
      </c>
      <c r="B83" s="27"/>
      <c r="C83" s="28"/>
      <c r="E83" s="163" t="str">
        <f>IF(Allgemein!N48=0,"",Allgemein!N48)</f>
        <v/>
      </c>
      <c r="F83" s="165"/>
      <c r="G83" s="28"/>
      <c r="H83" s="28"/>
    </row>
    <row r="84" spans="1:8" s="12" customFormat="1" hidden="1" x14ac:dyDescent="0.2">
      <c r="A84" s="22" t="str">
        <f>IF(Allgemein!P49=0,"",Allgemein!P49)</f>
        <v/>
      </c>
      <c r="B84" s="27"/>
      <c r="C84" s="28"/>
      <c r="E84" s="163" t="str">
        <f>IF(Allgemein!N49=0,"",Allgemein!N49)</f>
        <v/>
      </c>
      <c r="F84" s="165"/>
      <c r="G84" s="28"/>
      <c r="H84" s="28"/>
    </row>
    <row r="85" spans="1:8" s="12" customFormat="1" hidden="1" x14ac:dyDescent="0.2">
      <c r="A85" s="22" t="str">
        <f>IF(Allgemein!P50=0,"",Allgemein!P50)</f>
        <v/>
      </c>
      <c r="B85" s="27"/>
      <c r="C85" s="28"/>
      <c r="E85" s="163" t="str">
        <f>IF(Allgemein!N50=0,"",Allgemein!N50)</f>
        <v/>
      </c>
      <c r="F85" s="165"/>
      <c r="G85" s="28"/>
      <c r="H85" s="28"/>
    </row>
    <row r="86" spans="1:8" s="12" customFormat="1" hidden="1" x14ac:dyDescent="0.2">
      <c r="A86" s="22" t="str">
        <f>IF(Allgemein!P51=0,"",Allgemein!P51)</f>
        <v/>
      </c>
      <c r="B86" s="27"/>
      <c r="C86" s="28"/>
      <c r="E86" s="163" t="str">
        <f>IF(Allgemein!N51=0,"",Allgemein!N51)</f>
        <v/>
      </c>
      <c r="F86" s="165"/>
      <c r="G86" s="28"/>
      <c r="H86" s="28"/>
    </row>
    <row r="87" spans="1:8" s="12" customFormat="1" hidden="1" x14ac:dyDescent="0.2">
      <c r="A87" s="22" t="str">
        <f>IF(Allgemein!P52=0,"",Allgemein!P52)</f>
        <v/>
      </c>
      <c r="B87" s="27"/>
      <c r="C87" s="28"/>
      <c r="E87" s="163" t="str">
        <f>IF(Allgemein!N52=0,"",Allgemein!N52)</f>
        <v/>
      </c>
      <c r="F87" s="165"/>
      <c r="G87" s="28"/>
      <c r="H87" s="28"/>
    </row>
    <row r="88" spans="1:8" s="12" customFormat="1" hidden="1" x14ac:dyDescent="0.2">
      <c r="A88" s="22" t="str">
        <f>IF(Allgemein!P53=0,"",Allgemein!P53)</f>
        <v/>
      </c>
      <c r="B88" s="27"/>
      <c r="C88" s="28"/>
      <c r="E88" s="163" t="str">
        <f>IF(Allgemein!N53=0,"",Allgemein!N53)</f>
        <v/>
      </c>
      <c r="F88" s="165"/>
      <c r="G88" s="28"/>
      <c r="H88" s="28"/>
    </row>
    <row r="89" spans="1:8" s="12" customFormat="1" hidden="1" x14ac:dyDescent="0.2">
      <c r="A89" s="22" t="str">
        <f>IF(Allgemein!P54=0,"",Allgemein!P54)</f>
        <v/>
      </c>
      <c r="B89" s="27"/>
      <c r="C89" s="28"/>
      <c r="E89" s="163" t="str">
        <f>IF(Allgemein!N54=0,"",Allgemein!N54)</f>
        <v/>
      </c>
      <c r="F89" s="165"/>
      <c r="G89" s="28"/>
      <c r="H89" s="28"/>
    </row>
    <row r="90" spans="1:8" s="12" customFormat="1" hidden="1" x14ac:dyDescent="0.2">
      <c r="A90" s="22" t="str">
        <f>IF(Allgemein!P55=0,"",Allgemein!P55)</f>
        <v/>
      </c>
      <c r="B90" s="27"/>
      <c r="C90" s="28"/>
      <c r="E90" s="163" t="str">
        <f>IF(Allgemein!N55=0,"",Allgemein!N55)</f>
        <v/>
      </c>
      <c r="F90" s="165"/>
      <c r="G90" s="28"/>
      <c r="H90" s="28"/>
    </row>
    <row r="91" spans="1:8" s="12" customFormat="1" hidden="1" x14ac:dyDescent="0.2">
      <c r="A91" s="22" t="str">
        <f>IF(Allgemein!P56=0,"",Allgemein!P56)</f>
        <v/>
      </c>
      <c r="B91" s="27"/>
      <c r="C91" s="28"/>
      <c r="E91" s="163" t="str">
        <f>IF(Allgemein!N56=0,"",Allgemein!N56)</f>
        <v/>
      </c>
      <c r="F91" s="165"/>
      <c r="G91" s="28"/>
      <c r="H91" s="28"/>
    </row>
    <row r="92" spans="1:8" s="12" customFormat="1" hidden="1" x14ac:dyDescent="0.2">
      <c r="A92" s="22" t="str">
        <f>IF(Allgemein!P57=0,"",Allgemein!P57)</f>
        <v/>
      </c>
      <c r="B92" s="27"/>
      <c r="C92" s="28"/>
      <c r="E92" s="163" t="str">
        <f>IF(Allgemein!N57=0,"",Allgemein!N57)</f>
        <v/>
      </c>
      <c r="F92" s="165"/>
      <c r="G92" s="28"/>
      <c r="H92" s="28"/>
    </row>
    <row r="93" spans="1:8" s="12" customFormat="1" hidden="1" x14ac:dyDescent="0.2">
      <c r="A93" s="22" t="str">
        <f>IF(Allgemein!P58=0,"",Allgemein!P58)</f>
        <v/>
      </c>
      <c r="B93" s="27"/>
      <c r="C93" s="28"/>
      <c r="E93" s="163" t="str">
        <f>IF(Allgemein!N58=0,"",Allgemein!N58)</f>
        <v/>
      </c>
      <c r="F93" s="165"/>
      <c r="G93" s="28"/>
      <c r="H93" s="28"/>
    </row>
    <row r="94" spans="1:8" s="12" customFormat="1" hidden="1" x14ac:dyDescent="0.2">
      <c r="A94" s="22" t="str">
        <f>IF(Allgemein!P59=0,"",Allgemein!P59)</f>
        <v/>
      </c>
      <c r="B94" s="27"/>
      <c r="C94" s="28"/>
      <c r="E94" s="163" t="str">
        <f>IF(Allgemein!N59=0,"",Allgemein!N59)</f>
        <v/>
      </c>
      <c r="F94" s="165"/>
      <c r="G94" s="28"/>
      <c r="H94" s="28"/>
    </row>
    <row r="95" spans="1:8" s="12" customFormat="1" hidden="1" x14ac:dyDescent="0.2">
      <c r="A95" s="22" t="str">
        <f>IF(Allgemein!P60=0,"",Allgemein!P60)</f>
        <v/>
      </c>
      <c r="B95" s="27"/>
      <c r="C95" s="28"/>
      <c r="E95" s="163" t="str">
        <f>IF(Allgemein!N60=0,"",Allgemein!N60)</f>
        <v/>
      </c>
      <c r="F95" s="165"/>
      <c r="G95" s="28"/>
      <c r="H95" s="28"/>
    </row>
    <row r="96" spans="1:8" s="12" customFormat="1" hidden="1" x14ac:dyDescent="0.2">
      <c r="A96" s="22" t="str">
        <f>IF(Allgemein!P61=0,"",Allgemein!P61)</f>
        <v/>
      </c>
      <c r="B96" s="27"/>
      <c r="C96" s="28"/>
      <c r="E96" s="163" t="str">
        <f>IF(Allgemein!N61=0,"",Allgemein!N61)</f>
        <v/>
      </c>
      <c r="F96" s="165"/>
      <c r="G96" s="28"/>
      <c r="H96" s="28"/>
    </row>
    <row r="97" spans="1:43" s="12" customFormat="1" hidden="1" x14ac:dyDescent="0.2">
      <c r="A97" s="22" t="str">
        <f>IF(Allgemein!P62=0,"",Allgemein!P62)</f>
        <v/>
      </c>
      <c r="B97" s="27"/>
      <c r="C97" s="28"/>
      <c r="E97" s="163" t="str">
        <f>IF(Allgemein!N62=0,"",Allgemein!N62)</f>
        <v/>
      </c>
      <c r="F97" s="165"/>
      <c r="G97" s="28"/>
      <c r="H97" s="28"/>
    </row>
    <row r="98" spans="1:43" s="12" customFormat="1" hidden="1" x14ac:dyDescent="0.2">
      <c r="A98" s="22" t="str">
        <f>IF(Allgemein!P63=0,"",Allgemein!P63)</f>
        <v/>
      </c>
      <c r="B98" s="27"/>
      <c r="C98" s="28"/>
      <c r="E98" s="163" t="str">
        <f>IF(Allgemein!N63=0,"",Allgemein!N63)</f>
        <v/>
      </c>
      <c r="F98" s="165"/>
      <c r="G98" s="28"/>
      <c r="H98" s="28"/>
    </row>
    <row r="99" spans="1:43" s="12" customFormat="1" hidden="1" x14ac:dyDescent="0.2">
      <c r="A99" s="22" t="str">
        <f>IF(Allgemein!P64=0,"",Allgemein!P64)</f>
        <v/>
      </c>
      <c r="B99" s="27"/>
      <c r="C99" s="28"/>
      <c r="E99" s="163" t="str">
        <f>IF(Allgemein!N64=0,"",Allgemein!N64)</f>
        <v/>
      </c>
      <c r="F99" s="165"/>
      <c r="G99" s="28"/>
      <c r="H99" s="28"/>
    </row>
    <row r="100" spans="1:43" s="12" customFormat="1" hidden="1" x14ac:dyDescent="0.2">
      <c r="A100" s="22" t="str">
        <f>IF(Allgemein!P65=0,"",Allgemein!P65)</f>
        <v/>
      </c>
      <c r="B100" s="27"/>
      <c r="C100" s="28"/>
      <c r="E100" s="163" t="str">
        <f>IF(Allgemein!N65=0,"",Allgemein!N65)</f>
        <v/>
      </c>
      <c r="F100" s="165"/>
      <c r="G100" s="28"/>
      <c r="H100" s="28"/>
    </row>
    <row r="101" spans="1:43" s="12" customFormat="1" hidden="1" x14ac:dyDescent="0.2">
      <c r="A101" s="22" t="str">
        <f>IF(Allgemein!P66=0,"",Allgemein!P66)</f>
        <v/>
      </c>
      <c r="B101" s="27"/>
      <c r="C101" s="28"/>
      <c r="E101" s="163" t="str">
        <f>IF(Allgemein!N66=0,"",Allgemein!N66)</f>
        <v/>
      </c>
      <c r="F101" s="165"/>
      <c r="G101" s="28"/>
      <c r="H101" s="28"/>
    </row>
    <row r="102" spans="1:43" s="12" customFormat="1" hidden="1" x14ac:dyDescent="0.2">
      <c r="A102" s="22" t="str">
        <f>IF(Allgemein!P67=0,"",Allgemein!P67)</f>
        <v/>
      </c>
      <c r="B102" s="27"/>
      <c r="C102" s="28"/>
      <c r="E102" s="163" t="str">
        <f>IF(Allgemein!N67=0,"",Allgemein!N67)</f>
        <v/>
      </c>
      <c r="F102" s="165"/>
      <c r="G102" s="28"/>
      <c r="H102" s="28"/>
    </row>
    <row r="103" spans="1:43" s="12" customFormat="1" hidden="1" x14ac:dyDescent="0.2">
      <c r="A103" s="22" t="str">
        <f>IF(Allgemein!P68=0,"",Allgemein!P68)</f>
        <v/>
      </c>
      <c r="B103" s="27"/>
      <c r="C103" s="28"/>
      <c r="E103" s="163" t="str">
        <f>IF(Allgemein!N68=0,"",Allgemein!N68)</f>
        <v/>
      </c>
      <c r="F103" s="165"/>
      <c r="G103" s="28"/>
      <c r="H103" s="28"/>
    </row>
    <row r="104" spans="1:43" s="12" customFormat="1" hidden="1" x14ac:dyDescent="0.2">
      <c r="A104" s="13"/>
      <c r="B104" s="13"/>
      <c r="C104" s="13"/>
    </row>
    <row r="105" spans="1:43" s="12" customFormat="1" ht="107.1" customHeight="1" x14ac:dyDescent="0.2">
      <c r="A105" s="153" t="s">
        <v>80</v>
      </c>
      <c r="B105" s="155"/>
      <c r="C105" s="74"/>
      <c r="D105" s="34" t="str">
        <f>Allgemein!C43</f>
        <v>Arbeitsergebnisse</v>
      </c>
      <c r="E105" s="34" t="s">
        <v>363</v>
      </c>
      <c r="F105" s="34" t="str">
        <f>Allgemein!C44</f>
        <v>Projektdokumentation</v>
      </c>
      <c r="G105" s="34" t="str">
        <f>Allgemein!C45</f>
        <v>IT-System- und Dokumentenmanagement</v>
      </c>
      <c r="H105" s="34" t="str">
        <f>Allgemein!C46</f>
        <v>Altprojektdatenbank</v>
      </c>
      <c r="I105" s="34" t="str">
        <f>Allgemein!C47</f>
        <v>Projektfeinplanung (Arbeitspakete - Git Tickets)</v>
      </c>
      <c r="J105" s="34" t="str">
        <f>Allgemein!C48</f>
        <v>Projektgrobplanung</v>
      </c>
      <c r="K105" s="34" t="str">
        <f>Allgemein!C49</f>
        <v>Rechnungsmanagement</v>
      </c>
      <c r="L105" s="34" t="str">
        <f>Allgemein!C50</f>
        <v>Projektbasierte Risikoanalyse</v>
      </c>
      <c r="M105" s="34" t="str">
        <f>Allgemein!C51</f>
        <v>Wiki Wissensdatenbank</v>
      </c>
      <c r="N105" s="34" t="str">
        <f>Allgemein!C52</f>
        <v>Source Code</v>
      </c>
      <c r="O105" s="34" t="str">
        <f>Allgemein!C53</f>
        <v>Missionsdaten</v>
      </c>
      <c r="P105" s="34" t="str">
        <f>Allgemein!C54</f>
        <v>Schlüsselmaterial Mission</v>
      </c>
      <c r="Q105" s="34">
        <f>Allgemein!C56</f>
        <v>0</v>
      </c>
      <c r="R105" s="34">
        <f>Allgemein!C57</f>
        <v>0</v>
      </c>
      <c r="S105" s="34">
        <f>Allgemein!C58</f>
        <v>0</v>
      </c>
      <c r="T105" s="34">
        <f>Allgemein!C59</f>
        <v>0</v>
      </c>
      <c r="U105" s="34">
        <f>Allgemein!C60</f>
        <v>0</v>
      </c>
      <c r="V105" s="34">
        <f>Allgemein!C61</f>
        <v>0</v>
      </c>
      <c r="W105" s="34">
        <f>Allgemein!C62</f>
        <v>0</v>
      </c>
      <c r="X105" s="34">
        <f>Allgemein!C63</f>
        <v>0</v>
      </c>
      <c r="Y105" s="34">
        <f>Allgemein!C64</f>
        <v>0</v>
      </c>
      <c r="Z105" s="34">
        <f>Allgemein!C65</f>
        <v>0</v>
      </c>
      <c r="AA105" s="34">
        <f>Allgemein!C66</f>
        <v>0</v>
      </c>
      <c r="AB105" s="34">
        <f>Allgemein!C67</f>
        <v>0</v>
      </c>
      <c r="AC105" s="34">
        <f>Allgemein!C68</f>
        <v>0</v>
      </c>
      <c r="AD105" s="34">
        <f>Allgemein!C69</f>
        <v>0</v>
      </c>
      <c r="AE105" s="34">
        <f>Allgemein!C70</f>
        <v>0</v>
      </c>
      <c r="AF105" s="34">
        <f>Allgemein!C71</f>
        <v>0</v>
      </c>
      <c r="AG105" s="34">
        <f>Allgemein!C72</f>
        <v>0</v>
      </c>
      <c r="AH105" s="34">
        <f>Allgemein!C73</f>
        <v>0</v>
      </c>
      <c r="AI105" s="34">
        <f>Allgemein!C74</f>
        <v>0</v>
      </c>
      <c r="AJ105" s="34">
        <f>Allgemein!C75</f>
        <v>0</v>
      </c>
      <c r="AK105" s="34">
        <f>Allgemein!C76</f>
        <v>0</v>
      </c>
      <c r="AL105" s="34">
        <f>Allgemein!C77</f>
        <v>0</v>
      </c>
      <c r="AM105" s="34">
        <f>Allgemein!C78</f>
        <v>0</v>
      </c>
      <c r="AN105" s="34">
        <f>Allgemein!C79</f>
        <v>0</v>
      </c>
      <c r="AO105" s="34">
        <f>Allgemein!C80</f>
        <v>0</v>
      </c>
      <c r="AP105" s="34">
        <f>Allgemein!C81</f>
        <v>0</v>
      </c>
      <c r="AQ105" s="34">
        <f>Allgemein!C82</f>
        <v>0</v>
      </c>
    </row>
    <row r="106" spans="1:43" s="12" customFormat="1" x14ac:dyDescent="0.2">
      <c r="A106" s="173" t="s">
        <v>266</v>
      </c>
      <c r="B106" s="173"/>
      <c r="C106" s="84"/>
      <c r="D106" s="104"/>
      <c r="E106" s="104"/>
      <c r="F106" s="104"/>
      <c r="G106" s="115" t="s">
        <v>357</v>
      </c>
      <c r="H106" s="104"/>
      <c r="I106" s="104"/>
      <c r="J106" s="104"/>
      <c r="K106" s="28"/>
      <c r="L106" s="28"/>
      <c r="M106" s="35"/>
      <c r="N106" s="104"/>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row>
    <row r="107" spans="1:43" s="12" customFormat="1" x14ac:dyDescent="0.2">
      <c r="A107" s="12" t="s">
        <v>267</v>
      </c>
      <c r="C107" s="84"/>
      <c r="D107" s="104"/>
      <c r="E107" s="104"/>
      <c r="F107" s="104"/>
      <c r="G107" s="115" t="s">
        <v>357</v>
      </c>
      <c r="H107" s="104"/>
      <c r="I107" s="104"/>
      <c r="J107" s="104"/>
      <c r="K107" s="115" t="s">
        <v>357</v>
      </c>
      <c r="L107" s="115" t="s">
        <v>357</v>
      </c>
      <c r="M107" s="115" t="s">
        <v>357</v>
      </c>
      <c r="N107" s="104"/>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row>
    <row r="108" spans="1:43" s="12" customFormat="1" x14ac:dyDescent="0.2">
      <c r="A108" s="173" t="s">
        <v>268</v>
      </c>
      <c r="B108" s="173"/>
      <c r="C108" s="85"/>
      <c r="D108" s="104"/>
      <c r="E108" s="104"/>
      <c r="F108" s="104"/>
      <c r="G108" s="115" t="s">
        <v>357</v>
      </c>
      <c r="H108" s="104"/>
      <c r="I108" s="104"/>
      <c r="J108" s="104"/>
      <c r="K108" s="115" t="s">
        <v>357</v>
      </c>
      <c r="L108" s="115" t="s">
        <v>357</v>
      </c>
      <c r="M108" s="115" t="s">
        <v>357</v>
      </c>
      <c r="N108" s="104"/>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row>
    <row r="109" spans="1:43" s="12" customFormat="1" x14ac:dyDescent="0.2">
      <c r="A109" s="173" t="s">
        <v>269</v>
      </c>
      <c r="B109" s="173"/>
      <c r="C109" s="84"/>
      <c r="D109" s="104"/>
      <c r="E109" s="104"/>
      <c r="F109" s="104"/>
      <c r="G109" s="115" t="s">
        <v>357</v>
      </c>
      <c r="H109" s="104"/>
      <c r="I109" s="104"/>
      <c r="J109" s="104"/>
      <c r="K109" s="28"/>
      <c r="L109" s="28"/>
      <c r="M109" s="35"/>
      <c r="N109" s="104"/>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row>
    <row r="110" spans="1:43" s="12" customFormat="1" x14ac:dyDescent="0.2">
      <c r="A110" s="173" t="s">
        <v>270</v>
      </c>
      <c r="B110" s="173"/>
      <c r="C110" s="84"/>
      <c r="D110" s="104"/>
      <c r="E110" s="104"/>
      <c r="F110" s="104"/>
      <c r="G110" s="115" t="s">
        <v>357</v>
      </c>
      <c r="H110" s="104"/>
      <c r="I110" s="104"/>
      <c r="J110" s="104"/>
      <c r="K110" s="28"/>
      <c r="L110" s="28"/>
      <c r="M110" s="35"/>
      <c r="N110" s="104"/>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row>
    <row r="111" spans="1:43" s="12" customFormat="1" x14ac:dyDescent="0.2">
      <c r="A111" s="173" t="s">
        <v>271</v>
      </c>
      <c r="B111" s="173"/>
      <c r="C111" s="84"/>
      <c r="D111" s="104"/>
      <c r="E111" s="104"/>
      <c r="F111" s="104"/>
      <c r="G111" s="115" t="s">
        <v>357</v>
      </c>
      <c r="H111" s="104"/>
      <c r="I111" s="104"/>
      <c r="J111" s="104"/>
      <c r="K111" s="28"/>
      <c r="L111" s="28"/>
      <c r="M111" s="35"/>
      <c r="N111" s="104"/>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row>
    <row r="112" spans="1:43" s="12" customFormat="1" x14ac:dyDescent="0.2">
      <c r="A112" s="84" t="s">
        <v>272</v>
      </c>
      <c r="B112" s="84"/>
      <c r="C112" s="84"/>
      <c r="D112" s="104"/>
      <c r="E112" s="104"/>
      <c r="F112" s="104"/>
      <c r="G112" s="115" t="s">
        <v>357</v>
      </c>
      <c r="H112" s="104"/>
      <c r="I112" s="104"/>
      <c r="J112" s="104"/>
      <c r="K112" s="115" t="s">
        <v>357</v>
      </c>
      <c r="L112" s="28"/>
      <c r="M112" s="35"/>
      <c r="N112" s="104"/>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row>
    <row r="113" spans="1:43" s="12" customFormat="1" x14ac:dyDescent="0.2">
      <c r="A113" s="84" t="s">
        <v>273</v>
      </c>
      <c r="B113" s="84"/>
      <c r="C113" s="84"/>
      <c r="D113" s="104"/>
      <c r="E113" s="104"/>
      <c r="F113" s="104"/>
      <c r="G113" s="115" t="s">
        <v>357</v>
      </c>
      <c r="H113" s="104"/>
      <c r="I113" s="104"/>
      <c r="J113" s="104"/>
      <c r="K113" s="115" t="s">
        <v>357</v>
      </c>
      <c r="L113" s="115" t="s">
        <v>357</v>
      </c>
      <c r="M113" s="115" t="s">
        <v>357</v>
      </c>
      <c r="N113" s="104"/>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row>
    <row r="114" spans="1:43" s="12" customFormat="1" x14ac:dyDescent="0.2">
      <c r="A114" s="84" t="s">
        <v>274</v>
      </c>
      <c r="B114" s="84"/>
      <c r="C114" s="84"/>
      <c r="D114" s="104"/>
      <c r="E114" s="104"/>
      <c r="F114" s="104"/>
      <c r="G114" s="115" t="s">
        <v>357</v>
      </c>
      <c r="H114" s="104"/>
      <c r="I114" s="104"/>
      <c r="J114" s="104"/>
      <c r="K114" s="115" t="s">
        <v>357</v>
      </c>
      <c r="L114" s="115" t="s">
        <v>357</v>
      </c>
      <c r="M114" s="115" t="s">
        <v>357</v>
      </c>
      <c r="N114" s="104"/>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row>
    <row r="115" spans="1:43" s="12" customFormat="1" x14ac:dyDescent="0.2">
      <c r="A115" s="84" t="s">
        <v>203</v>
      </c>
      <c r="B115" s="84"/>
      <c r="C115" s="84"/>
      <c r="D115" s="104"/>
      <c r="E115" s="104"/>
      <c r="F115" s="104"/>
      <c r="G115" s="115" t="s">
        <v>357</v>
      </c>
      <c r="H115" s="104"/>
      <c r="I115" s="104"/>
      <c r="J115" s="104"/>
      <c r="K115" s="28"/>
      <c r="L115" s="28"/>
      <c r="M115" s="35"/>
      <c r="N115" s="104"/>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row>
    <row r="116" spans="1:43" s="12" customFormat="1" x14ac:dyDescent="0.2">
      <c r="A116" s="84" t="s">
        <v>275</v>
      </c>
      <c r="B116" s="84"/>
      <c r="C116" s="84"/>
      <c r="D116" s="104"/>
      <c r="E116" s="104"/>
      <c r="F116" s="104"/>
      <c r="G116" s="115" t="s">
        <v>357</v>
      </c>
      <c r="H116" s="104"/>
      <c r="I116" s="104"/>
      <c r="J116" s="104"/>
      <c r="K116" s="28"/>
      <c r="L116" s="28"/>
      <c r="M116" s="35"/>
      <c r="N116" s="104"/>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row>
    <row r="117" spans="1:43" s="12" customFormat="1" x14ac:dyDescent="0.2">
      <c r="A117" s="84" t="s">
        <v>276</v>
      </c>
      <c r="B117" s="84"/>
      <c r="C117" s="84"/>
      <c r="D117" s="104"/>
      <c r="E117" s="104"/>
      <c r="F117" s="104"/>
      <c r="G117" s="115" t="s">
        <v>357</v>
      </c>
      <c r="H117" s="104"/>
      <c r="I117" s="104"/>
      <c r="J117" s="104"/>
      <c r="K117" s="28"/>
      <c r="L117" s="28"/>
      <c r="M117" s="35"/>
      <c r="N117" s="104"/>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row>
    <row r="118" spans="1:43" s="12" customFormat="1" x14ac:dyDescent="0.2">
      <c r="A118" s="84"/>
      <c r="B118" s="84"/>
      <c r="C118" s="84"/>
      <c r="D118" s="104"/>
      <c r="E118" s="104"/>
      <c r="F118" s="104"/>
      <c r="G118" s="35"/>
      <c r="H118" s="104"/>
      <c r="I118" s="104"/>
      <c r="J118" s="104"/>
      <c r="K118" s="28"/>
      <c r="L118" s="28"/>
      <c r="M118" s="35"/>
      <c r="N118" s="104"/>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row>
    <row r="119" spans="1:43" s="12" customFormat="1" x14ac:dyDescent="0.2">
      <c r="A119" s="84"/>
      <c r="B119" s="84"/>
      <c r="C119" s="84"/>
      <c r="D119" s="104"/>
      <c r="E119" s="104"/>
      <c r="F119" s="104"/>
      <c r="G119" s="35"/>
      <c r="H119" s="104"/>
      <c r="I119" s="104"/>
      <c r="J119" s="104"/>
      <c r="K119" s="28"/>
      <c r="L119" s="28"/>
      <c r="M119" s="35"/>
      <c r="N119" s="104"/>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row>
    <row r="120" spans="1:43" s="12" customFormat="1" x14ac:dyDescent="0.2">
      <c r="A120" s="84"/>
      <c r="B120" s="84"/>
      <c r="C120" s="84"/>
      <c r="D120" s="104"/>
      <c r="E120" s="104"/>
      <c r="F120" s="104"/>
      <c r="G120" s="35"/>
      <c r="H120" s="104"/>
      <c r="I120" s="104"/>
      <c r="J120" s="104"/>
      <c r="K120" s="28"/>
      <c r="L120" s="28"/>
      <c r="M120" s="35"/>
      <c r="N120" s="104"/>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row>
    <row r="121" spans="1:43" s="12" customFormat="1" x14ac:dyDescent="0.2">
      <c r="A121" s="84"/>
      <c r="B121" s="84"/>
      <c r="C121" s="84"/>
      <c r="D121" s="104"/>
      <c r="E121" s="104"/>
      <c r="F121" s="104"/>
      <c r="G121" s="35"/>
      <c r="H121" s="104"/>
      <c r="I121" s="104"/>
      <c r="J121" s="104"/>
      <c r="K121" s="28"/>
      <c r="L121" s="28"/>
      <c r="M121" s="35"/>
      <c r="N121" s="104"/>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row>
    <row r="122" spans="1:43" s="12" customFormat="1" x14ac:dyDescent="0.2">
      <c r="A122" s="84"/>
      <c r="B122" s="84"/>
      <c r="C122" s="84"/>
      <c r="D122" s="104"/>
      <c r="E122" s="104"/>
      <c r="F122" s="104"/>
      <c r="G122" s="35"/>
      <c r="H122" s="104"/>
      <c r="I122" s="104"/>
      <c r="J122" s="104"/>
      <c r="K122" s="28"/>
      <c r="L122" s="28"/>
      <c r="M122" s="35"/>
      <c r="N122" s="104"/>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row>
    <row r="123" spans="1:43" s="12" customFormat="1" x14ac:dyDescent="0.2">
      <c r="A123" s="84"/>
      <c r="B123" s="84"/>
      <c r="C123" s="84"/>
      <c r="D123" s="104"/>
      <c r="E123" s="104"/>
      <c r="F123" s="104"/>
      <c r="G123" s="35"/>
      <c r="H123" s="104"/>
      <c r="I123" s="104"/>
      <c r="J123" s="104"/>
      <c r="K123" s="28"/>
      <c r="L123" s="28"/>
      <c r="M123" s="35"/>
      <c r="N123" s="104"/>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row>
    <row r="124" spans="1:43" s="12" customFormat="1" x14ac:dyDescent="0.2">
      <c r="A124" s="84"/>
      <c r="B124" s="84"/>
      <c r="C124" s="85"/>
      <c r="D124" s="104"/>
      <c r="E124" s="104"/>
      <c r="F124" s="104"/>
      <c r="G124" s="35"/>
      <c r="H124" s="104"/>
      <c r="I124" s="104"/>
      <c r="J124" s="104"/>
      <c r="K124" s="28"/>
      <c r="L124" s="28"/>
      <c r="M124" s="35"/>
      <c r="N124" s="104"/>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row>
    <row r="125" spans="1:43" s="12" customFormat="1" x14ac:dyDescent="0.2">
      <c r="A125" s="84"/>
      <c r="B125" s="84"/>
      <c r="C125" s="84"/>
      <c r="D125" s="104"/>
      <c r="E125" s="104"/>
      <c r="F125" s="104"/>
      <c r="G125" s="35"/>
      <c r="H125" s="104"/>
      <c r="I125" s="104"/>
      <c r="J125" s="104"/>
      <c r="K125" s="28"/>
      <c r="L125" s="28"/>
      <c r="M125" s="35"/>
      <c r="N125" s="104"/>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row>
    <row r="126" spans="1:43" s="12" customFormat="1" x14ac:dyDescent="0.2">
      <c r="A126" s="84"/>
      <c r="B126" s="84"/>
      <c r="C126" s="84"/>
      <c r="D126" s="104"/>
      <c r="E126" s="104"/>
      <c r="F126" s="104"/>
      <c r="G126" s="35"/>
      <c r="H126" s="104"/>
      <c r="I126" s="104"/>
      <c r="J126" s="104"/>
      <c r="K126" s="28"/>
      <c r="L126" s="28"/>
      <c r="M126" s="35"/>
      <c r="N126" s="104"/>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row>
    <row r="127" spans="1:43" s="12" customFormat="1" x14ac:dyDescent="0.2">
      <c r="A127" s="84"/>
      <c r="B127" s="84"/>
      <c r="C127" s="84"/>
      <c r="D127" s="104"/>
      <c r="E127" s="104"/>
      <c r="F127" s="104"/>
      <c r="G127" s="35"/>
      <c r="H127" s="104"/>
      <c r="I127" s="104"/>
      <c r="J127" s="104"/>
      <c r="K127" s="28"/>
      <c r="L127" s="28"/>
      <c r="M127" s="35"/>
      <c r="N127" s="104"/>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row>
    <row r="128" spans="1:43" s="12" customFormat="1" x14ac:dyDescent="0.2">
      <c r="A128" s="84"/>
      <c r="B128" s="84"/>
      <c r="C128" s="84"/>
      <c r="D128" s="104"/>
      <c r="E128" s="104"/>
      <c r="F128" s="104"/>
      <c r="G128" s="35"/>
      <c r="H128" s="104"/>
      <c r="I128" s="104"/>
      <c r="J128" s="104"/>
      <c r="K128" s="28"/>
      <c r="L128" s="28"/>
      <c r="M128" s="35"/>
      <c r="N128" s="104"/>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row>
    <row r="129" spans="1:43" s="12" customFormat="1" x14ac:dyDescent="0.2">
      <c r="A129" s="84"/>
      <c r="B129" s="84"/>
      <c r="C129" s="84"/>
      <c r="D129" s="104"/>
      <c r="E129" s="104"/>
      <c r="F129" s="104"/>
      <c r="G129" s="35"/>
      <c r="H129" s="104"/>
      <c r="I129" s="104"/>
      <c r="J129" s="104"/>
      <c r="K129" s="28"/>
      <c r="L129" s="28"/>
      <c r="M129" s="35"/>
      <c r="N129" s="104"/>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row>
    <row r="130" spans="1:43" s="12" customFormat="1" x14ac:dyDescent="0.2">
      <c r="A130" s="84"/>
      <c r="B130" s="84"/>
      <c r="C130" s="84"/>
      <c r="D130" s="104"/>
      <c r="E130" s="104"/>
      <c r="F130" s="104"/>
      <c r="G130" s="35"/>
      <c r="H130" s="104"/>
      <c r="I130" s="104"/>
      <c r="J130" s="104"/>
      <c r="K130" s="28"/>
      <c r="L130" s="28"/>
      <c r="M130" s="35"/>
      <c r="N130" s="104"/>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row>
    <row r="131" spans="1:43" s="12" customFormat="1" x14ac:dyDescent="0.2">
      <c r="A131" s="84"/>
      <c r="B131" s="84"/>
      <c r="C131" s="84"/>
      <c r="D131" s="104"/>
      <c r="E131" s="104"/>
      <c r="F131" s="104"/>
      <c r="G131" s="35"/>
      <c r="H131" s="104"/>
      <c r="I131" s="104"/>
      <c r="J131" s="104"/>
      <c r="K131" s="28"/>
      <c r="L131" s="28"/>
      <c r="M131" s="35"/>
      <c r="N131" s="104"/>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row>
    <row r="132" spans="1:43" s="12" customFormat="1" x14ac:dyDescent="0.2">
      <c r="A132" s="84"/>
      <c r="B132" s="84"/>
      <c r="C132" s="84"/>
      <c r="D132" s="104"/>
      <c r="E132" s="104"/>
      <c r="F132" s="104"/>
      <c r="G132" s="35"/>
      <c r="H132" s="104"/>
      <c r="I132" s="104"/>
      <c r="J132" s="104"/>
      <c r="K132" s="28"/>
      <c r="L132" s="28"/>
      <c r="M132" s="35"/>
      <c r="N132" s="104"/>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row>
    <row r="133" spans="1:43" s="12" customFormat="1" x14ac:dyDescent="0.2">
      <c r="A133" s="84"/>
      <c r="B133" s="84"/>
      <c r="C133" s="84"/>
      <c r="D133" s="104"/>
      <c r="E133" s="104"/>
      <c r="F133" s="104"/>
      <c r="G133" s="35"/>
      <c r="H133" s="104"/>
      <c r="I133" s="104"/>
      <c r="J133" s="104"/>
      <c r="K133" s="28"/>
      <c r="L133" s="28"/>
      <c r="M133" s="35"/>
      <c r="N133" s="104"/>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row>
    <row r="134" spans="1:43" s="12" customFormat="1" x14ac:dyDescent="0.2">
      <c r="A134" s="84"/>
      <c r="B134" s="84"/>
      <c r="C134" s="84"/>
      <c r="D134" s="104"/>
      <c r="E134" s="104"/>
      <c r="F134" s="104"/>
      <c r="G134" s="35"/>
      <c r="H134" s="104"/>
      <c r="I134" s="104"/>
      <c r="J134" s="104"/>
      <c r="K134" s="28"/>
      <c r="L134" s="28"/>
      <c r="M134" s="35"/>
      <c r="N134" s="104"/>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row>
    <row r="135" spans="1:43" s="12" customFormat="1" x14ac:dyDescent="0.2">
      <c r="A135" s="84"/>
      <c r="B135" s="84"/>
      <c r="C135" s="84"/>
      <c r="D135" s="104"/>
      <c r="E135" s="104"/>
      <c r="F135" s="104"/>
      <c r="G135" s="35"/>
      <c r="H135" s="104"/>
      <c r="I135" s="104"/>
      <c r="J135" s="104"/>
      <c r="K135" s="28"/>
      <c r="L135" s="28"/>
      <c r="M135" s="35"/>
      <c r="N135" s="104"/>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row>
    <row r="136" spans="1:43" s="12" customFormat="1" x14ac:dyDescent="0.2">
      <c r="A136" s="84"/>
      <c r="B136" s="84"/>
      <c r="C136" s="84"/>
      <c r="D136" s="104"/>
      <c r="E136" s="104"/>
      <c r="F136" s="104"/>
      <c r="G136" s="35"/>
      <c r="H136" s="104"/>
      <c r="I136" s="104"/>
      <c r="J136" s="104"/>
      <c r="K136" s="28"/>
      <c r="L136" s="28"/>
      <c r="M136" s="35"/>
      <c r="N136" s="104"/>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row>
    <row r="137" spans="1:43" s="12" customFormat="1" x14ac:dyDescent="0.2">
      <c r="A137" s="84"/>
      <c r="B137" s="84"/>
      <c r="C137" s="84"/>
      <c r="D137" s="104"/>
      <c r="E137" s="104"/>
      <c r="F137" s="104"/>
      <c r="G137" s="35"/>
      <c r="H137" s="104"/>
      <c r="I137" s="104"/>
      <c r="J137" s="104"/>
      <c r="K137" s="28"/>
      <c r="L137" s="28"/>
      <c r="M137" s="35"/>
      <c r="N137" s="104"/>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row>
    <row r="138" spans="1:43" s="12" customFormat="1" x14ac:dyDescent="0.2">
      <c r="A138" s="84"/>
      <c r="B138" s="84"/>
      <c r="C138" s="84"/>
      <c r="D138" s="104"/>
      <c r="E138" s="104"/>
      <c r="F138" s="104"/>
      <c r="G138" s="35"/>
      <c r="H138" s="104"/>
      <c r="I138" s="104"/>
      <c r="J138" s="104"/>
      <c r="K138" s="28"/>
      <c r="L138" s="28"/>
      <c r="M138" s="35"/>
      <c r="N138" s="104"/>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row>
    <row r="139" spans="1:43" s="12" customFormat="1" x14ac:dyDescent="0.2">
      <c r="A139" s="84"/>
      <c r="B139" s="84"/>
      <c r="C139" s="84"/>
      <c r="D139" s="104"/>
      <c r="E139" s="104"/>
      <c r="F139" s="104"/>
      <c r="G139" s="35"/>
      <c r="H139" s="104"/>
      <c r="I139" s="104"/>
      <c r="J139" s="104"/>
      <c r="K139" s="28"/>
      <c r="L139" s="28"/>
      <c r="M139" s="35"/>
      <c r="N139" s="104"/>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row>
    <row r="140" spans="1:43" s="12" customFormat="1" x14ac:dyDescent="0.2">
      <c r="A140" s="84"/>
      <c r="B140" s="84"/>
      <c r="C140" s="84"/>
      <c r="D140" s="104"/>
      <c r="E140" s="104"/>
      <c r="F140" s="104"/>
      <c r="G140" s="35"/>
      <c r="H140" s="104"/>
      <c r="I140" s="104"/>
      <c r="J140" s="104"/>
      <c r="K140" s="28"/>
      <c r="L140" s="28"/>
      <c r="M140" s="35"/>
      <c r="N140" s="104"/>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row>
    <row r="141" spans="1:43" s="12" customFormat="1" x14ac:dyDescent="0.2">
      <c r="A141" s="84"/>
      <c r="B141" s="84"/>
      <c r="C141" s="84"/>
      <c r="D141" s="104"/>
      <c r="E141" s="104"/>
      <c r="F141" s="104"/>
      <c r="G141" s="35"/>
      <c r="H141" s="104"/>
      <c r="I141" s="104"/>
      <c r="J141" s="104"/>
      <c r="K141" s="28"/>
      <c r="L141" s="28"/>
      <c r="M141" s="35"/>
      <c r="N141" s="104"/>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row>
    <row r="142" spans="1:43" s="12" customFormat="1" x14ac:dyDescent="0.2">
      <c r="A142" s="84"/>
      <c r="B142" s="84"/>
      <c r="C142" s="84"/>
      <c r="D142" s="104"/>
      <c r="E142" s="104"/>
      <c r="F142" s="104"/>
      <c r="G142" s="35"/>
      <c r="H142" s="104"/>
      <c r="I142" s="104"/>
      <c r="J142" s="104"/>
      <c r="K142" s="28"/>
      <c r="L142" s="28"/>
      <c r="M142" s="35"/>
      <c r="N142" s="104"/>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row>
    <row r="143" spans="1:43" s="12" customFormat="1" x14ac:dyDescent="0.2">
      <c r="A143" s="84"/>
      <c r="B143" s="84"/>
      <c r="C143" s="84"/>
      <c r="D143" s="104"/>
      <c r="E143" s="104"/>
      <c r="F143" s="104"/>
      <c r="G143" s="35"/>
      <c r="H143" s="104"/>
      <c r="I143" s="104"/>
      <c r="J143" s="104"/>
      <c r="K143" s="28"/>
      <c r="L143" s="28"/>
      <c r="M143" s="35"/>
      <c r="N143" s="104"/>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row>
    <row r="144" spans="1:43" s="12" customFormat="1" x14ac:dyDescent="0.2">
      <c r="A144" s="84"/>
      <c r="B144" s="84"/>
      <c r="C144" s="84"/>
      <c r="D144" s="104"/>
      <c r="E144" s="104"/>
      <c r="F144" s="104"/>
      <c r="G144" s="35"/>
      <c r="H144" s="104"/>
      <c r="I144" s="104"/>
      <c r="J144" s="104"/>
      <c r="K144" s="28"/>
      <c r="L144" s="28"/>
      <c r="M144" s="35"/>
      <c r="N144" s="104"/>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row>
    <row r="145" spans="1:43" s="12" customFormat="1" x14ac:dyDescent="0.2">
      <c r="A145" s="84"/>
      <c r="B145" s="84"/>
      <c r="C145" s="84"/>
      <c r="D145" s="104"/>
      <c r="E145" s="104"/>
      <c r="F145" s="104"/>
      <c r="G145" s="35"/>
      <c r="H145" s="104"/>
      <c r="I145" s="104"/>
      <c r="J145" s="104"/>
      <c r="K145" s="28"/>
      <c r="L145" s="28"/>
      <c r="M145" s="35"/>
      <c r="N145" s="104"/>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row>
    <row r="146" spans="1:43" s="12" customFormat="1" x14ac:dyDescent="0.2">
      <c r="A146" s="109"/>
      <c r="B146" s="109"/>
      <c r="C146" s="109"/>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row>
    <row r="147" spans="1:43" s="12" customFormat="1" ht="18" customHeight="1" x14ac:dyDescent="0.2"/>
    <row r="148" spans="1:43" s="12" customFormat="1" ht="21" hidden="1" customHeight="1" x14ac:dyDescent="0.2">
      <c r="A148" s="168" t="s">
        <v>82</v>
      </c>
      <c r="B148" s="169"/>
      <c r="C148" s="169"/>
      <c r="D148" s="169"/>
      <c r="E148" s="169"/>
      <c r="F148" s="169"/>
      <c r="G148" s="169"/>
      <c r="H148" s="169"/>
      <c r="I148" s="169"/>
      <c r="J148" s="169"/>
      <c r="K148" s="169"/>
      <c r="L148" s="169"/>
      <c r="M148" s="170"/>
    </row>
    <row r="149" spans="1:43" s="12" customFormat="1" ht="18" hidden="1" customHeight="1" x14ac:dyDescent="0.2">
      <c r="A149" s="13"/>
      <c r="B149" s="13"/>
      <c r="C149" s="13"/>
      <c r="D149" s="13"/>
      <c r="E149" s="13"/>
      <c r="F149" s="13"/>
      <c r="G149" s="13"/>
      <c r="H149" s="13"/>
      <c r="I149" s="13"/>
      <c r="J149" s="13"/>
      <c r="L149" s="13"/>
      <c r="M149" s="13"/>
    </row>
    <row r="150" spans="1:43" s="12" customFormat="1" ht="25.5" hidden="1" customHeight="1" x14ac:dyDescent="0.2">
      <c r="A150" s="13"/>
      <c r="B150" s="156" t="s">
        <v>83</v>
      </c>
      <c r="C150" s="156"/>
      <c r="D150" s="156"/>
      <c r="E150" s="156"/>
      <c r="F150" s="156"/>
      <c r="G150" s="156"/>
      <c r="H150" s="156"/>
      <c r="I150" s="156"/>
      <c r="J150" s="13"/>
      <c r="L150" s="13"/>
      <c r="M150" s="13"/>
      <c r="O150" s="174" t="s">
        <v>84</v>
      </c>
      <c r="P150" s="174"/>
    </row>
    <row r="151" spans="1:43" s="12" customFormat="1" ht="25.5" hidden="1" customHeight="1" x14ac:dyDescent="0.2">
      <c r="A151" s="76" t="s">
        <v>85</v>
      </c>
      <c r="B151" s="110" t="s">
        <v>233</v>
      </c>
      <c r="C151" s="56" t="s">
        <v>181</v>
      </c>
      <c r="D151" s="56" t="s">
        <v>182</v>
      </c>
      <c r="E151" s="56" t="s">
        <v>182</v>
      </c>
      <c r="F151" s="56" t="s">
        <v>202</v>
      </c>
      <c r="G151" s="56"/>
      <c r="H151" s="74" t="s">
        <v>86</v>
      </c>
      <c r="I151" s="74" t="s">
        <v>86</v>
      </c>
      <c r="J151" s="56" t="s">
        <v>70</v>
      </c>
      <c r="K151" s="56" t="s">
        <v>87</v>
      </c>
      <c r="L151" s="56" t="s">
        <v>88</v>
      </c>
      <c r="M151" s="56" t="s">
        <v>89</v>
      </c>
      <c r="O151" s="61" t="s">
        <v>90</v>
      </c>
      <c r="P151" s="61" t="s">
        <v>91</v>
      </c>
    </row>
    <row r="152" spans="1:43" s="12" customFormat="1" ht="25.5" hidden="1" customHeight="1" x14ac:dyDescent="0.2">
      <c r="A152" s="57" t="s">
        <v>92</v>
      </c>
      <c r="B152" s="58"/>
      <c r="C152" s="58"/>
      <c r="D152" s="58"/>
      <c r="E152" s="58"/>
      <c r="F152" s="58"/>
      <c r="G152" s="58"/>
      <c r="H152" s="58"/>
      <c r="I152" s="58"/>
      <c r="J152" s="28"/>
      <c r="K152" s="28"/>
      <c r="L152" s="58"/>
      <c r="M152" s="58"/>
      <c r="O152" s="62" t="str">
        <f>IF(COUNT(B152:I152)='ISM Klassifizierung'!$J$14,IF(SUMPRODUCT((B152:I152&gt;=3)*(B152:I152&lt;&gt;0)*1)&gt;0,'ISM Klassifizierung'!$J$14-SUMPRODUCT((B152:I152&gt;=3)*(B152:I152&lt;&gt;0)*1),"Nein"),"Nein")</f>
        <v>Nein</v>
      </c>
      <c r="P152" s="62" t="str">
        <f>IF(M152="","",VLOOKUP(M152,'ISM Klassifizierung'!$K$4:$L$11,2,FALSE))</f>
        <v/>
      </c>
    </row>
    <row r="153" spans="1:43" s="12" customFormat="1" ht="25.5" hidden="1" customHeight="1" x14ac:dyDescent="0.2">
      <c r="A153" s="57" t="s">
        <v>93</v>
      </c>
      <c r="B153" s="58"/>
      <c r="C153" s="58"/>
      <c r="D153" s="58"/>
      <c r="E153" s="58"/>
      <c r="F153" s="58"/>
      <c r="G153" s="58"/>
      <c r="H153" s="58"/>
      <c r="I153" s="58"/>
      <c r="J153" s="28"/>
      <c r="K153" s="28"/>
      <c r="L153" s="58"/>
      <c r="M153" s="58"/>
      <c r="O153" s="62" t="str">
        <f>IF(COUNT(B153:I153)='ISM Klassifizierung'!$J$14,IF(SUMPRODUCT((B153:I153&gt;=3)*(B153:I153&lt;&gt;0)*1)&gt;0,'ISM Klassifizierung'!$J$14-SUMPRODUCT((B153:I153&gt;=3)*(B153:I153&lt;&gt;0)*1),"Nein"),"Nein")</f>
        <v>Nein</v>
      </c>
      <c r="P153" s="62" t="str">
        <f>IF(M153="","",VLOOKUP(M153,'ISM Klassifizierung'!$K$4:$L$11,2,FALSE))</f>
        <v/>
      </c>
    </row>
    <row r="154" spans="1:43" s="12" customFormat="1" ht="25.5" hidden="1" customHeight="1" x14ac:dyDescent="0.2">
      <c r="A154" s="59" t="s">
        <v>94</v>
      </c>
      <c r="B154" s="58"/>
      <c r="C154" s="58"/>
      <c r="D154" s="58"/>
      <c r="E154" s="58"/>
      <c r="F154" s="58"/>
      <c r="G154" s="58"/>
      <c r="H154" s="58"/>
      <c r="I154" s="58"/>
      <c r="J154" s="28"/>
      <c r="K154" s="28"/>
      <c r="L154" s="58"/>
      <c r="M154" s="58"/>
      <c r="O154" s="62" t="str">
        <f>IF(COUNT(B154:I154)='ISM Klassifizierung'!$J$14,IF(SUMPRODUCT((B154:I154&gt;=3)*(B154:I154&lt;&gt;0)*1)&gt;0,'ISM Klassifizierung'!$J$14-SUMPRODUCT((B154:I154&gt;=3)*(B154:I154&lt;&gt;0)*1),"Nein"),"Nein")</f>
        <v>Nein</v>
      </c>
      <c r="P154" s="62" t="str">
        <f>IF(M154="","",VLOOKUP(M154,'ISM Klassifizierung'!$K$4:$L$11,2,FALSE))</f>
        <v/>
      </c>
    </row>
    <row r="155" spans="1:43" s="12" customFormat="1" ht="25.5" hidden="1" customHeight="1" x14ac:dyDescent="0.2">
      <c r="A155" s="59" t="s">
        <v>95</v>
      </c>
      <c r="B155" s="58"/>
      <c r="C155" s="58"/>
      <c r="D155" s="58"/>
      <c r="E155" s="58"/>
      <c r="F155" s="58"/>
      <c r="G155" s="58"/>
      <c r="H155" s="58"/>
      <c r="I155" s="58"/>
      <c r="J155" s="28"/>
      <c r="K155" s="28"/>
      <c r="L155" s="58"/>
      <c r="M155" s="58"/>
      <c r="O155" s="62" t="str">
        <f>IF(COUNT(B155:I155)='ISM Klassifizierung'!$J$14,IF(SUMPRODUCT((B155:I155&gt;=3)*(B155:I155&lt;&gt;0)*1)&gt;0,'ISM Klassifizierung'!$J$14-SUMPRODUCT((B155:I155&gt;=3)*(B155:I155&lt;&gt;0)*1),"Nein"),"Nein")</f>
        <v>Nein</v>
      </c>
      <c r="P155" s="62" t="str">
        <f>IF(M155="","",VLOOKUP(M155,'ISM Klassifizierung'!$K$4:$L$11,2,FALSE))</f>
        <v/>
      </c>
    </row>
    <row r="156" spans="1:43" s="12" customFormat="1" ht="25.5" hidden="1" customHeight="1" x14ac:dyDescent="0.2">
      <c r="A156" s="13"/>
      <c r="B156" s="13"/>
      <c r="C156" s="13"/>
      <c r="D156" s="13"/>
      <c r="E156" s="13"/>
      <c r="F156" s="13"/>
      <c r="G156" s="13"/>
      <c r="H156" s="13"/>
      <c r="I156" s="13"/>
      <c r="J156" s="13"/>
      <c r="L156" s="13"/>
      <c r="M156" s="13"/>
      <c r="O156" s="63" t="str">
        <f>IF(AND(O152="Nein",O153="Nein",O154="Nein",O155="Nein"),"",MIN(O152:P155))</f>
        <v/>
      </c>
      <c r="P156" s="64"/>
    </row>
    <row r="157" spans="1:43" s="12" customFormat="1" ht="25.5" hidden="1" customHeight="1" x14ac:dyDescent="0.2">
      <c r="A157" s="13"/>
      <c r="B157" s="13"/>
      <c r="C157" s="13"/>
      <c r="D157" s="13"/>
      <c r="E157" s="13"/>
      <c r="F157" s="13"/>
      <c r="G157" s="13"/>
      <c r="H157" s="13"/>
      <c r="I157" s="13"/>
      <c r="J157" s="13"/>
      <c r="K157" s="60" t="s">
        <v>96</v>
      </c>
      <c r="L157" s="56"/>
      <c r="M157" s="13"/>
    </row>
    <row r="158" spans="1:43" s="12" customFormat="1" hidden="1" x14ac:dyDescent="0.2"/>
    <row r="159" spans="1:43" s="12" customFormat="1" hidden="1" x14ac:dyDescent="0.2"/>
    <row r="160" spans="1:43" s="12" customFormat="1" hidden="1" x14ac:dyDescent="0.2"/>
    <row r="161" s="12" customFormat="1" hidden="1" x14ac:dyDescent="0.2"/>
    <row r="162" s="12" customFormat="1" hidden="1" x14ac:dyDescent="0.2"/>
    <row r="163" s="12" customFormat="1" hidden="1" x14ac:dyDescent="0.2"/>
    <row r="164" s="12" customFormat="1" hidden="1" x14ac:dyDescent="0.2"/>
    <row r="165" s="12" customFormat="1" hidden="1" x14ac:dyDescent="0.2"/>
    <row r="166" s="12" customFormat="1" hidden="1" x14ac:dyDescent="0.2"/>
    <row r="167" s="12" customFormat="1" hidden="1" x14ac:dyDescent="0.2"/>
    <row r="168" s="12" customFormat="1" hidden="1" x14ac:dyDescent="0.2"/>
    <row r="169" s="12" customFormat="1" hidden="1" x14ac:dyDescent="0.2"/>
    <row r="170" s="12" customFormat="1" hidden="1" x14ac:dyDescent="0.2"/>
    <row r="171" s="12" customFormat="1" hidden="1" x14ac:dyDescent="0.2"/>
    <row r="172" s="12" customFormat="1" hidden="1" x14ac:dyDescent="0.2"/>
    <row r="173" s="12" customFormat="1" hidden="1" x14ac:dyDescent="0.2"/>
    <row r="174" s="12" customFormat="1" hidden="1" x14ac:dyDescent="0.2"/>
    <row r="175" s="12" customFormat="1" hidden="1" x14ac:dyDescent="0.2"/>
    <row r="176" s="12" customFormat="1" hidden="1" x14ac:dyDescent="0.2"/>
    <row r="177" s="12" customFormat="1" hidden="1" x14ac:dyDescent="0.2"/>
    <row r="178" s="12" customFormat="1" hidden="1" x14ac:dyDescent="0.2"/>
    <row r="179" s="12" customFormat="1" hidden="1" x14ac:dyDescent="0.2"/>
    <row r="180" s="12" customFormat="1" hidden="1" x14ac:dyDescent="0.2"/>
    <row r="181" s="12" customFormat="1" hidden="1" x14ac:dyDescent="0.2"/>
    <row r="182" s="12" customFormat="1" hidden="1" x14ac:dyDescent="0.2"/>
    <row r="183" s="12" customFormat="1" hidden="1" x14ac:dyDescent="0.2"/>
    <row r="184" s="12" customFormat="1" hidden="1" x14ac:dyDescent="0.2"/>
    <row r="185" s="12" customFormat="1" hidden="1" x14ac:dyDescent="0.2"/>
    <row r="186" s="12" customFormat="1" hidden="1" x14ac:dyDescent="0.2"/>
    <row r="187" s="12" customFormat="1" hidden="1" x14ac:dyDescent="0.2"/>
    <row r="188" s="12" customFormat="1" hidden="1" x14ac:dyDescent="0.2"/>
    <row r="189" s="12" customFormat="1" hidden="1" x14ac:dyDescent="0.2"/>
    <row r="190" s="12" customFormat="1" hidden="1" x14ac:dyDescent="0.2"/>
    <row r="191" s="12" customFormat="1" hidden="1" x14ac:dyDescent="0.2"/>
    <row r="192" s="12" customFormat="1" hidden="1" x14ac:dyDescent="0.2"/>
    <row r="193" s="12" customFormat="1" hidden="1" x14ac:dyDescent="0.2"/>
    <row r="194" s="12" customFormat="1" hidden="1" x14ac:dyDescent="0.2"/>
    <row r="195" s="12" customFormat="1" hidden="1" x14ac:dyDescent="0.2"/>
    <row r="196" s="12" customFormat="1" hidden="1" x14ac:dyDescent="0.2"/>
    <row r="197" s="12" customFormat="1" hidden="1" x14ac:dyDescent="0.2"/>
    <row r="198" s="12" customFormat="1" hidden="1" x14ac:dyDescent="0.2"/>
    <row r="199" s="12" customFormat="1" hidden="1" x14ac:dyDescent="0.2"/>
    <row r="200" s="12" customFormat="1" hidden="1" x14ac:dyDescent="0.2"/>
    <row r="201" s="12" customFormat="1" hidden="1" x14ac:dyDescent="0.2"/>
    <row r="202" s="12" customFormat="1" hidden="1" x14ac:dyDescent="0.2"/>
    <row r="203" s="12" customFormat="1" hidden="1" x14ac:dyDescent="0.2"/>
    <row r="204" s="12" customFormat="1" hidden="1" x14ac:dyDescent="0.2"/>
    <row r="205" s="12" customFormat="1" hidden="1" x14ac:dyDescent="0.2"/>
    <row r="206" s="12" customFormat="1" hidden="1" x14ac:dyDescent="0.2"/>
    <row r="207" s="12" customFormat="1" hidden="1" x14ac:dyDescent="0.2"/>
    <row r="208" s="12" customFormat="1" hidden="1" x14ac:dyDescent="0.2"/>
    <row r="209" s="12" customFormat="1" hidden="1" x14ac:dyDescent="0.2"/>
    <row r="210" s="12" customFormat="1" hidden="1" x14ac:dyDescent="0.2"/>
    <row r="211" s="12" customFormat="1" hidden="1" x14ac:dyDescent="0.2"/>
    <row r="212" s="12" customFormat="1" hidden="1" x14ac:dyDescent="0.2"/>
    <row r="213" s="12" customFormat="1" hidden="1" x14ac:dyDescent="0.2"/>
    <row r="214" s="12" customFormat="1" hidden="1" x14ac:dyDescent="0.2"/>
    <row r="215" s="12" customFormat="1" hidden="1" x14ac:dyDescent="0.2"/>
    <row r="216" s="12" customFormat="1" hidden="1" x14ac:dyDescent="0.2"/>
    <row r="217" s="12" customFormat="1" hidden="1" x14ac:dyDescent="0.2"/>
    <row r="218" s="12" customFormat="1" hidden="1" x14ac:dyDescent="0.2"/>
    <row r="219" s="12" customFormat="1" hidden="1" x14ac:dyDescent="0.2"/>
    <row r="220" s="12" customFormat="1" hidden="1" x14ac:dyDescent="0.2"/>
    <row r="221" s="12" customFormat="1" hidden="1" x14ac:dyDescent="0.2"/>
    <row r="222" s="12" customFormat="1" hidden="1" x14ac:dyDescent="0.2"/>
    <row r="223" s="12" customFormat="1" hidden="1" x14ac:dyDescent="0.2"/>
    <row r="224" s="12" customFormat="1" hidden="1" x14ac:dyDescent="0.2"/>
    <row r="225" s="12" customFormat="1" hidden="1" x14ac:dyDescent="0.2"/>
  </sheetData>
  <mergeCells count="88">
    <mergeCell ref="E79:F79"/>
    <mergeCell ref="E102:F102"/>
    <mergeCell ref="E101:F101"/>
    <mergeCell ref="E100:F100"/>
    <mergeCell ref="E99:F99"/>
    <mergeCell ref="E98:F98"/>
    <mergeCell ref="E97:F97"/>
    <mergeCell ref="E96:F96"/>
    <mergeCell ref="E95:F95"/>
    <mergeCell ref="E94:F94"/>
    <mergeCell ref="E93:F93"/>
    <mergeCell ref="E92:F92"/>
    <mergeCell ref="E91:F91"/>
    <mergeCell ref="E85:F85"/>
    <mergeCell ref="E86:F86"/>
    <mergeCell ref="E87:F87"/>
    <mergeCell ref="A148:M148"/>
    <mergeCell ref="B150:I150"/>
    <mergeCell ref="O150:P150"/>
    <mergeCell ref="A109:B109"/>
    <mergeCell ref="A110:B110"/>
    <mergeCell ref="A111:B111"/>
    <mergeCell ref="E103:F103"/>
    <mergeCell ref="A105:B105"/>
    <mergeCell ref="A106:B106"/>
    <mergeCell ref="A108:B108"/>
    <mergeCell ref="E88:F88"/>
    <mergeCell ref="E89:F89"/>
    <mergeCell ref="E90:F90"/>
    <mergeCell ref="E80:F80"/>
    <mergeCell ref="E81:F81"/>
    <mergeCell ref="E82:F82"/>
    <mergeCell ref="E83:F83"/>
    <mergeCell ref="E84:F84"/>
    <mergeCell ref="E78:F78"/>
    <mergeCell ref="C71:E71"/>
    <mergeCell ref="G71:J71"/>
    <mergeCell ref="C72:E72"/>
    <mergeCell ref="G72:J72"/>
    <mergeCell ref="C73:E73"/>
    <mergeCell ref="G73:J73"/>
    <mergeCell ref="C74:E74"/>
    <mergeCell ref="G74:J74"/>
    <mergeCell ref="C75:E75"/>
    <mergeCell ref="G75:J75"/>
    <mergeCell ref="E77:F77"/>
    <mergeCell ref="C68:E68"/>
    <mergeCell ref="G68:J68"/>
    <mergeCell ref="C69:E69"/>
    <mergeCell ref="G69:J69"/>
    <mergeCell ref="C70:E70"/>
    <mergeCell ref="G70:J70"/>
    <mergeCell ref="C65:E65"/>
    <mergeCell ref="G65:J65"/>
    <mergeCell ref="C66:E66"/>
    <mergeCell ref="G66:J66"/>
    <mergeCell ref="C67:E67"/>
    <mergeCell ref="G67:J67"/>
    <mergeCell ref="C62:E62"/>
    <mergeCell ref="G62:J62"/>
    <mergeCell ref="C63:E63"/>
    <mergeCell ref="G63:J63"/>
    <mergeCell ref="C64:E64"/>
    <mergeCell ref="G64:J64"/>
    <mergeCell ref="C59:E59"/>
    <mergeCell ref="G59:J59"/>
    <mergeCell ref="C60:E60"/>
    <mergeCell ref="G60:J60"/>
    <mergeCell ref="C61:E61"/>
    <mergeCell ref="G61:J61"/>
    <mergeCell ref="C58:E58"/>
    <mergeCell ref="G58:J58"/>
    <mergeCell ref="B5:F5"/>
    <mergeCell ref="B6:F6"/>
    <mergeCell ref="A9:J9"/>
    <mergeCell ref="A53:R53"/>
    <mergeCell ref="K54:R54"/>
    <mergeCell ref="C55:E55"/>
    <mergeCell ref="G55:J55"/>
    <mergeCell ref="C56:E56"/>
    <mergeCell ref="G56:J56"/>
    <mergeCell ref="C57:E57"/>
    <mergeCell ref="G57:J57"/>
    <mergeCell ref="B1:E1"/>
    <mergeCell ref="J1:K1"/>
    <mergeCell ref="B2:F2"/>
    <mergeCell ref="B3:F3"/>
    <mergeCell ref="B4:F4"/>
  </mergeCells>
  <conditionalFormatting sqref="J13:J39 J44:J51">
    <cfRule type="expression" dxfId="842" priority="132">
      <formula>$B13="nein"</formula>
    </cfRule>
  </conditionalFormatting>
  <conditionalFormatting sqref="J12 C12:I51">
    <cfRule type="expression" dxfId="841" priority="131">
      <formula>$B12="nein"</formula>
    </cfRule>
  </conditionalFormatting>
  <conditionalFormatting sqref="C16:D51 F16:F51">
    <cfRule type="expression" dxfId="840" priority="130">
      <formula>$B16="nein"</formula>
    </cfRule>
  </conditionalFormatting>
  <conditionalFormatting sqref="J40:J43">
    <cfRule type="expression" dxfId="839" priority="129">
      <formula>$B40="nein"</formula>
    </cfRule>
  </conditionalFormatting>
  <conditionalFormatting sqref="G12:I51">
    <cfRule type="expression" dxfId="838" priority="128">
      <formula>$B12="nein"</formula>
    </cfRule>
  </conditionalFormatting>
  <conditionalFormatting sqref="E12:E51">
    <cfRule type="expression" dxfId="837" priority="127">
      <formula>$B12="nein"</formula>
    </cfRule>
  </conditionalFormatting>
  <conditionalFormatting sqref="F105">
    <cfRule type="expression" dxfId="836" priority="80">
      <formula>F$105=0</formula>
    </cfRule>
  </conditionalFormatting>
  <conditionalFormatting sqref="D105">
    <cfRule type="expression" dxfId="835" priority="77" stopIfTrue="1">
      <formula>D$105=0</formula>
    </cfRule>
  </conditionalFormatting>
  <conditionalFormatting sqref="O105:O146">
    <cfRule type="expression" dxfId="834" priority="69">
      <formula>O$105=0</formula>
    </cfRule>
  </conditionalFormatting>
  <conditionalFormatting sqref="P105:P146">
    <cfRule type="expression" dxfId="833" priority="68">
      <formula>P$105=0</formula>
    </cfRule>
  </conditionalFormatting>
  <conditionalFormatting sqref="Q105:Q146">
    <cfRule type="expression" dxfId="832" priority="67">
      <formula>Q$105=0</formula>
    </cfRule>
  </conditionalFormatting>
  <conditionalFormatting sqref="R105:R146">
    <cfRule type="expression" dxfId="831" priority="66">
      <formula>R$105=0</formula>
    </cfRule>
  </conditionalFormatting>
  <conditionalFormatting sqref="S105:S146">
    <cfRule type="expression" dxfId="830" priority="65">
      <formula>S$105=0</formula>
    </cfRule>
  </conditionalFormatting>
  <conditionalFormatting sqref="T105:T146">
    <cfRule type="expression" dxfId="829" priority="64">
      <formula>T$105=0</formula>
    </cfRule>
  </conditionalFormatting>
  <conditionalFormatting sqref="U105:U146">
    <cfRule type="expression" dxfId="828" priority="63">
      <formula>U$105=0</formula>
    </cfRule>
  </conditionalFormatting>
  <conditionalFormatting sqref="V105:V146">
    <cfRule type="expression" dxfId="827" priority="62">
      <formula>V$105=0</formula>
    </cfRule>
  </conditionalFormatting>
  <conditionalFormatting sqref="W105:W146">
    <cfRule type="expression" dxfId="826" priority="61">
      <formula>W$105=0</formula>
    </cfRule>
  </conditionalFormatting>
  <conditionalFormatting sqref="X105:X146">
    <cfRule type="expression" dxfId="825" priority="60">
      <formula>X$105=0</formula>
    </cfRule>
  </conditionalFormatting>
  <conditionalFormatting sqref="Y105:Y146">
    <cfRule type="expression" dxfId="824" priority="59">
      <formula>Y$105=0</formula>
    </cfRule>
  </conditionalFormatting>
  <conditionalFormatting sqref="Z105:Z146">
    <cfRule type="expression" dxfId="823" priority="58">
      <formula>Z$105=0</formula>
    </cfRule>
  </conditionalFormatting>
  <conditionalFormatting sqref="AA105:AA146">
    <cfRule type="expression" dxfId="822" priority="57">
      <formula>AA$105=0</formula>
    </cfRule>
  </conditionalFormatting>
  <conditionalFormatting sqref="AB105:AB146">
    <cfRule type="expression" dxfId="821" priority="56">
      <formula>AB$105=0</formula>
    </cfRule>
  </conditionalFormatting>
  <conditionalFormatting sqref="AC105:AC146">
    <cfRule type="expression" dxfId="820" priority="55">
      <formula>AC$105=0</formula>
    </cfRule>
  </conditionalFormatting>
  <conditionalFormatting sqref="AD105:AD146">
    <cfRule type="expression" dxfId="819" priority="54">
      <formula>AD$105=0</formula>
    </cfRule>
  </conditionalFormatting>
  <conditionalFormatting sqref="F56:F75">
    <cfRule type="expression" dxfId="818" priority="31">
      <formula>$L$157="-"</formula>
    </cfRule>
    <cfRule type="expression" dxfId="817" priority="126">
      <formula>$B56="nein"</formula>
    </cfRule>
  </conditionalFormatting>
  <conditionalFormatting sqref="F56:F75">
    <cfRule type="expression" dxfId="816" priority="125">
      <formula>$B56="nein"</formula>
    </cfRule>
  </conditionalFormatting>
  <conditionalFormatting sqref="C78:C85">
    <cfRule type="expression" dxfId="815" priority="124">
      <formula>$B78="nein"</formula>
    </cfRule>
  </conditionalFormatting>
  <conditionalFormatting sqref="C78:C85">
    <cfRule type="expression" dxfId="814" priority="123">
      <formula>$B78="nein"</formula>
    </cfRule>
  </conditionalFormatting>
  <conditionalFormatting sqref="C86:C103">
    <cfRule type="expression" dxfId="813" priority="122">
      <formula>$B86="nein"</formula>
    </cfRule>
  </conditionalFormatting>
  <conditionalFormatting sqref="C86:C103">
    <cfRule type="expression" dxfId="812" priority="121">
      <formula>$B86="nein"</formula>
    </cfRule>
  </conditionalFormatting>
  <conditionalFormatting sqref="AE105:AE146">
    <cfRule type="expression" dxfId="811" priority="53">
      <formula>AE$105=0</formula>
    </cfRule>
  </conditionalFormatting>
  <conditionalFormatting sqref="AF105:AF146">
    <cfRule type="expression" dxfId="810" priority="52">
      <formula>AF$105=0</formula>
    </cfRule>
  </conditionalFormatting>
  <conditionalFormatting sqref="AG105:AG146">
    <cfRule type="expression" dxfId="809" priority="51">
      <formula>AG$105=0</formula>
    </cfRule>
  </conditionalFormatting>
  <conditionalFormatting sqref="AH105:AH146">
    <cfRule type="expression" dxfId="808" priority="50">
      <formula>AH$105=0</formula>
    </cfRule>
  </conditionalFormatting>
  <conditionalFormatting sqref="AI105:AI146">
    <cfRule type="expression" dxfId="807" priority="49">
      <formula>AI$105=0</formula>
    </cfRule>
  </conditionalFormatting>
  <conditionalFormatting sqref="AJ105:AJ146">
    <cfRule type="expression" dxfId="806" priority="48">
      <formula>AJ$105=0</formula>
    </cfRule>
  </conditionalFormatting>
  <conditionalFormatting sqref="AK105:AK146">
    <cfRule type="expression" dxfId="805" priority="47">
      <formula>AK$105=0</formula>
    </cfRule>
  </conditionalFormatting>
  <conditionalFormatting sqref="AL105:AL146">
    <cfRule type="expression" dxfId="804" priority="46">
      <formula>AL$105=0</formula>
    </cfRule>
  </conditionalFormatting>
  <conditionalFormatting sqref="AM105:AM146">
    <cfRule type="expression" dxfId="803" priority="45">
      <formula>AM$105=0</formula>
    </cfRule>
  </conditionalFormatting>
  <conditionalFormatting sqref="AN105:AN146">
    <cfRule type="expression" dxfId="802" priority="44">
      <formula>AN$105=0</formula>
    </cfRule>
  </conditionalFormatting>
  <conditionalFormatting sqref="AO105:AO146">
    <cfRule type="expression" dxfId="801" priority="43">
      <formula>AO$105=0</formula>
    </cfRule>
  </conditionalFormatting>
  <conditionalFormatting sqref="AP105:AP146">
    <cfRule type="expression" dxfId="800" priority="42">
      <formula>AP$105=0</formula>
    </cfRule>
  </conditionalFormatting>
  <conditionalFormatting sqref="AQ105:AQ146">
    <cfRule type="expression" dxfId="799" priority="41">
      <formula>AQ$105=0</formula>
    </cfRule>
  </conditionalFormatting>
  <conditionalFormatting sqref="O106:AQ146">
    <cfRule type="cellIs" dxfId="798" priority="40" operator="equal">
      <formula>"x"</formula>
    </cfRule>
  </conditionalFormatting>
  <conditionalFormatting sqref="O106:O146">
    <cfRule type="expression" dxfId="797" priority="92" stopIfTrue="1">
      <formula>AND($A$23&lt;&gt;"",$B$23&lt;&gt;"ja")</formula>
    </cfRule>
  </conditionalFormatting>
  <conditionalFormatting sqref="P106:P146">
    <cfRule type="expression" dxfId="796" priority="93" stopIfTrue="1">
      <formula>AND($A$24&lt;&gt;"",$B$24&lt;&gt;"ja")</formula>
    </cfRule>
  </conditionalFormatting>
  <conditionalFormatting sqref="Q106:Q146">
    <cfRule type="expression" dxfId="795" priority="94" stopIfTrue="1">
      <formula>AND($A$25&lt;&gt;"",$B$25&lt;&gt;"ja")</formula>
    </cfRule>
  </conditionalFormatting>
  <conditionalFormatting sqref="R106:R146">
    <cfRule type="expression" dxfId="794" priority="95" stopIfTrue="1">
      <formula>AND($A$26&lt;&gt;"",$B$26&lt;&gt;"ja")</formula>
    </cfRule>
  </conditionalFormatting>
  <conditionalFormatting sqref="S106:S146">
    <cfRule type="expression" dxfId="793" priority="96" stopIfTrue="1">
      <formula>AND($A$27&lt;&gt;"",$B$27&lt;&gt;"ja")</formula>
    </cfRule>
  </conditionalFormatting>
  <conditionalFormatting sqref="T106:T146">
    <cfRule type="expression" dxfId="792" priority="97" stopIfTrue="1">
      <formula>AND($A$28&lt;&gt;"",$B$28&lt;&gt;"ja")</formula>
    </cfRule>
  </conditionalFormatting>
  <conditionalFormatting sqref="U106:U146">
    <cfRule type="expression" dxfId="791" priority="98" stopIfTrue="1">
      <formula>AND($A$29&lt;&gt;"",$B$29&lt;&gt;"ja")</formula>
    </cfRule>
  </conditionalFormatting>
  <conditionalFormatting sqref="V106:V146">
    <cfRule type="expression" dxfId="790" priority="99" stopIfTrue="1">
      <formula>AND($A$30&lt;&gt;"",$B$30&lt;&gt;"ja")</formula>
    </cfRule>
  </conditionalFormatting>
  <conditionalFormatting sqref="W106:W146">
    <cfRule type="expression" dxfId="789" priority="100" stopIfTrue="1">
      <formula>AND($A$31&lt;&gt;"",$B$31&lt;&gt;"ja")</formula>
    </cfRule>
  </conditionalFormatting>
  <conditionalFormatting sqref="X106:X146">
    <cfRule type="expression" dxfId="788" priority="101" stopIfTrue="1">
      <formula>AND($A$32&lt;&gt;"",$B$32&lt;&gt;"ja")</formula>
    </cfRule>
  </conditionalFormatting>
  <conditionalFormatting sqref="Y106:Y146">
    <cfRule type="expression" dxfId="787" priority="102" stopIfTrue="1">
      <formula>AND($A$33&lt;&gt;"",$B$33&lt;&gt;"ja")</formula>
    </cfRule>
  </conditionalFormatting>
  <conditionalFormatting sqref="Z106:Z146">
    <cfRule type="expression" dxfId="786" priority="103" stopIfTrue="1">
      <formula>AND($A$34&lt;&gt;"",$B$34&lt;&gt;"ja")</formula>
    </cfRule>
  </conditionalFormatting>
  <conditionalFormatting sqref="AA106:AA146">
    <cfRule type="expression" dxfId="785" priority="104" stopIfTrue="1">
      <formula>AND($A$35&lt;&gt;"",$B$35&lt;&gt;"ja")</formula>
    </cfRule>
  </conditionalFormatting>
  <conditionalFormatting sqref="AB106:AB146">
    <cfRule type="expression" dxfId="784" priority="105" stopIfTrue="1">
      <formula>AND($A$36&lt;&gt;"",$B$36&lt;&gt;"ja")</formula>
    </cfRule>
  </conditionalFormatting>
  <conditionalFormatting sqref="AC106:AC146">
    <cfRule type="expression" dxfId="783" priority="106" stopIfTrue="1">
      <formula>AND($A$37&lt;&gt;"",$B$37&lt;&gt;"ja")</formula>
    </cfRule>
  </conditionalFormatting>
  <conditionalFormatting sqref="AD106:AD146">
    <cfRule type="expression" dxfId="782" priority="107" stopIfTrue="1">
      <formula>AND($A$38&lt;&gt;"",$B$38&lt;&gt;"ja")</formula>
    </cfRule>
  </conditionalFormatting>
  <conditionalFormatting sqref="AE106:AE146">
    <cfRule type="expression" dxfId="781" priority="108" stopIfTrue="1">
      <formula>AND($A$39&lt;&gt;"",$B$39&lt;&gt;"ja")</formula>
    </cfRule>
  </conditionalFormatting>
  <conditionalFormatting sqref="AF106:AF146">
    <cfRule type="expression" dxfId="780" priority="109" stopIfTrue="1">
      <formula>AND($A$40&lt;&gt;"",$B$40&lt;&gt;"ja")</formula>
    </cfRule>
  </conditionalFormatting>
  <conditionalFormatting sqref="AG106:AG146">
    <cfRule type="expression" dxfId="779" priority="110" stopIfTrue="1">
      <formula>AND($A$41&lt;&gt;"",$B$41&lt;&gt;"ja")</formula>
    </cfRule>
  </conditionalFormatting>
  <conditionalFormatting sqref="AH106:AH146">
    <cfRule type="expression" dxfId="778" priority="111" stopIfTrue="1">
      <formula>AND($A$42&lt;&gt;"",$B$42&lt;&gt;"ja")</formula>
    </cfRule>
  </conditionalFormatting>
  <conditionalFormatting sqref="AI106:AI146">
    <cfRule type="expression" dxfId="777" priority="112" stopIfTrue="1">
      <formula>AND($A$43&lt;&gt;"",$B$43&lt;&gt;"ja")</formula>
    </cfRule>
  </conditionalFormatting>
  <conditionalFormatting sqref="AJ106:AJ146">
    <cfRule type="expression" dxfId="776" priority="113" stopIfTrue="1">
      <formula>AND($A$44&lt;&gt;"",$B$44&lt;&gt;"ja")</formula>
    </cfRule>
  </conditionalFormatting>
  <conditionalFormatting sqref="AK106:AK146">
    <cfRule type="expression" dxfId="775" priority="114" stopIfTrue="1">
      <formula>AND($A$45&lt;&gt;"",$B$45&lt;&gt;"ja")</formula>
    </cfRule>
  </conditionalFormatting>
  <conditionalFormatting sqref="AL106:AL146">
    <cfRule type="expression" dxfId="774" priority="115" stopIfTrue="1">
      <formula>AND($A$46&lt;&gt;"",$B$46&lt;&gt;"ja")</formula>
    </cfRule>
  </conditionalFormatting>
  <conditionalFormatting sqref="AM106:AM146">
    <cfRule type="expression" dxfId="773" priority="116" stopIfTrue="1">
      <formula>AND($A$47&lt;&gt;"",$B$47&lt;&gt;"ja")</formula>
    </cfRule>
  </conditionalFormatting>
  <conditionalFormatting sqref="AN106:AN146">
    <cfRule type="expression" dxfId="772" priority="117" stopIfTrue="1">
      <formula>AND($A$48&lt;&gt;"",$B$48&lt;&gt;"ja")</formula>
    </cfRule>
  </conditionalFormatting>
  <conditionalFormatting sqref="AO106:AO146">
    <cfRule type="expression" dxfId="771" priority="118" stopIfTrue="1">
      <formula>AND($A$49&lt;&gt;"",$B$49&lt;&gt;"ja")</formula>
    </cfRule>
  </conditionalFormatting>
  <conditionalFormatting sqref="AP106:AP146">
    <cfRule type="expression" dxfId="770" priority="119" stopIfTrue="1">
      <formula>AND($A$50&lt;&gt;"",$B$50&lt;&gt;"ja")</formula>
    </cfRule>
  </conditionalFormatting>
  <conditionalFormatting sqref="AQ106:AQ146">
    <cfRule type="expression" dxfId="769" priority="120" stopIfTrue="1">
      <formula>AND($A$51&lt;&gt;"",$B$51&lt;&gt;"ja")</formula>
    </cfRule>
  </conditionalFormatting>
  <conditionalFormatting sqref="K56:K75">
    <cfRule type="expression" dxfId="768" priority="39">
      <formula>$F56&lt;&gt;"Ja"</formula>
    </cfRule>
  </conditionalFormatting>
  <conditionalFormatting sqref="L56:L75">
    <cfRule type="expression" dxfId="767" priority="38">
      <formula>$F56&lt;&gt;"Ja"</formula>
    </cfRule>
  </conditionalFormatting>
  <conditionalFormatting sqref="M56:M75">
    <cfRule type="expression" dxfId="766" priority="37">
      <formula>$F56&lt;&gt;"Ja"</formula>
    </cfRule>
  </conditionalFormatting>
  <conditionalFormatting sqref="N56:N75">
    <cfRule type="expression" dxfId="765" priority="36">
      <formula>$F56&lt;&gt;"Ja"</formula>
    </cfRule>
  </conditionalFormatting>
  <conditionalFormatting sqref="O56:O75">
    <cfRule type="expression" dxfId="764" priority="35">
      <formula>$F56&lt;&gt;"Ja"</formula>
    </cfRule>
  </conditionalFormatting>
  <conditionalFormatting sqref="P56:P75">
    <cfRule type="expression" dxfId="763" priority="34">
      <formula>$F56&lt;&gt;"Ja"</formula>
    </cfRule>
  </conditionalFormatting>
  <conditionalFormatting sqref="Q56:Q75">
    <cfRule type="expression" dxfId="762" priority="33">
      <formula>$F56&lt;&gt;"Ja"</formula>
    </cfRule>
  </conditionalFormatting>
  <conditionalFormatting sqref="R56:R75">
    <cfRule type="expression" dxfId="761" priority="32">
      <formula>$F56&lt;&gt;"Ja"</formula>
    </cfRule>
  </conditionalFormatting>
  <conditionalFormatting sqref="C78:C103">
    <cfRule type="expression" dxfId="760" priority="30">
      <formula>$L$157="-"</formula>
    </cfRule>
  </conditionalFormatting>
  <conditionalFormatting sqref="C106:C146">
    <cfRule type="expression" dxfId="759" priority="29">
      <formula>$L$157="-"</formula>
    </cfRule>
  </conditionalFormatting>
  <conditionalFormatting sqref="H78:H91">
    <cfRule type="expression" dxfId="758" priority="28">
      <formula>$B78="nein"</formula>
    </cfRule>
  </conditionalFormatting>
  <conditionalFormatting sqref="H78:H91">
    <cfRule type="expression" dxfId="757" priority="27">
      <formula>$B78="nein"</formula>
    </cfRule>
  </conditionalFormatting>
  <conditionalFormatting sqref="H86:H103">
    <cfRule type="expression" dxfId="756" priority="26">
      <formula>$B86="nein"</formula>
    </cfRule>
  </conditionalFormatting>
  <conditionalFormatting sqref="H86:H103">
    <cfRule type="expression" dxfId="755" priority="25">
      <formula>$B86="nein"</formula>
    </cfRule>
  </conditionalFormatting>
  <conditionalFormatting sqref="H78:H103">
    <cfRule type="expression" dxfId="754" priority="24">
      <formula>$L$157="-"</formula>
    </cfRule>
  </conditionalFormatting>
  <conditionalFormatting sqref="C12:D12 F12:F37">
    <cfRule type="expression" dxfId="753" priority="23">
      <formula>$B12="nein"</formula>
    </cfRule>
  </conditionalFormatting>
  <conditionalFormatting sqref="C13">
    <cfRule type="expression" dxfId="752" priority="22">
      <formula>$B13="nein"</formula>
    </cfRule>
  </conditionalFormatting>
  <conditionalFormatting sqref="C15:C37">
    <cfRule type="expression" dxfId="751" priority="21">
      <formula>$B15="nein"</formula>
    </cfRule>
  </conditionalFormatting>
  <conditionalFormatting sqref="D13:D37">
    <cfRule type="expression" dxfId="750" priority="20">
      <formula>$B13="nein"</formula>
    </cfRule>
  </conditionalFormatting>
  <conditionalFormatting sqref="F105">
    <cfRule type="expression" dxfId="749" priority="19">
      <formula>F$105=0</formula>
    </cfRule>
  </conditionalFormatting>
  <conditionalFormatting sqref="G105">
    <cfRule type="expression" dxfId="748" priority="18">
      <formula>G$105=0</formula>
    </cfRule>
  </conditionalFormatting>
  <conditionalFormatting sqref="E105">
    <cfRule type="expression" dxfId="747" priority="17">
      <formula>E$105=0</formula>
    </cfRule>
  </conditionalFormatting>
  <conditionalFormatting sqref="D105">
    <cfRule type="expression" dxfId="746" priority="16">
      <formula>D$105=0</formula>
    </cfRule>
  </conditionalFormatting>
  <conditionalFormatting sqref="H105">
    <cfRule type="expression" dxfId="745" priority="15">
      <formula>H$105=0</formula>
    </cfRule>
  </conditionalFormatting>
  <conditionalFormatting sqref="I105">
    <cfRule type="expression" dxfId="744" priority="14">
      <formula>I$105=0</formula>
    </cfRule>
  </conditionalFormatting>
  <conditionalFormatting sqref="J105">
    <cfRule type="expression" dxfId="743" priority="13">
      <formula>J$105=0</formula>
    </cfRule>
  </conditionalFormatting>
  <conditionalFormatting sqref="K105">
    <cfRule type="expression" dxfId="742" priority="12">
      <formula>K$105=0</formula>
    </cfRule>
  </conditionalFormatting>
  <conditionalFormatting sqref="L105">
    <cfRule type="expression" dxfId="741" priority="11">
      <formula>L$105=0</formula>
    </cfRule>
  </conditionalFormatting>
  <conditionalFormatting sqref="M105">
    <cfRule type="expression" dxfId="740" priority="10">
      <formula>M$105=0</formula>
    </cfRule>
  </conditionalFormatting>
  <conditionalFormatting sqref="N105">
    <cfRule type="expression" dxfId="739" priority="9">
      <formula>N$105=0</formula>
    </cfRule>
  </conditionalFormatting>
  <conditionalFormatting sqref="P106:P136">
    <cfRule type="expression" dxfId="738" priority="3">
      <formula>P$105=0</formula>
    </cfRule>
  </conditionalFormatting>
  <conditionalFormatting sqref="P106:P136">
    <cfRule type="expression" dxfId="737" priority="4" stopIfTrue="1">
      <formula>AND($A$23&lt;&gt;"",$B$23&lt;&gt;"ja")</formula>
    </cfRule>
  </conditionalFormatting>
  <conditionalFormatting sqref="P137:P145">
    <cfRule type="expression" dxfId="736" priority="1">
      <formula>P$105=0</formula>
    </cfRule>
  </conditionalFormatting>
  <conditionalFormatting sqref="P137:P145">
    <cfRule type="expression" dxfId="735" priority="2" stopIfTrue="1">
      <formula>AND($A$23&lt;&gt;"",$B$23&lt;&gt;"ja")</formula>
    </cfRule>
  </conditionalFormatting>
  <dataValidations xWindow="665" yWindow="521" count="5">
    <dataValidation type="list" allowBlank="1" showInputMessage="1" showErrorMessage="1" sqref="H152:I155">
      <formula1>"1,2,3,4"</formula1>
    </dataValidation>
    <dataValidation type="list" allowBlank="1" showInputMessage="1" showErrorMessage="1" promptTitle="Mehrfachselektion möglich" prompt="Für Mehrfachselektion bitte nacheinander über Drop-Down Werte auswählen." sqref="D106:AQ146">
      <formula1>"x"</formula1>
    </dataValidation>
    <dataValidation type="list" allowBlank="1" showInputMessage="1" showErrorMessage="1" sqref="G78:G103 B56:B75 B12:B51 B78:B103">
      <formula1>"ja, nein"</formula1>
    </dataValidation>
    <dataValidation type="list" allowBlank="1" showErrorMessage="1" sqref="G12:G51">
      <formula1>"nicht personenbezogen, personenbezogen, besonders personenbezogen"</formula1>
    </dataValidation>
    <dataValidation type="list" allowBlank="1" showInputMessage="1" showErrorMessage="1" sqref="B152:G155">
      <formula1>"1,2,3"</formula1>
    </dataValidation>
  </dataValidations>
  <pageMargins left="0.7" right="0.7" top="0.78740157499999996" bottom="0.78740157499999996" header="0.3" footer="0.3"/>
  <pageSetup paperSize="9" scale="56" fitToHeight="0" orientation="landscape" r:id="rId1"/>
  <extLst>
    <ext xmlns:x14="http://schemas.microsoft.com/office/spreadsheetml/2009/9/main" uri="{CCE6A557-97BC-4b89-ADB6-D9C93CAAB3DF}">
      <x14:dataValidations xmlns:xm="http://schemas.microsoft.com/office/excel/2006/main" xWindow="665" yWindow="521" count="8">
        <x14:dataValidation type="list" allowBlank="1" showInputMessage="1">
          <x14:formula1>
            <xm:f>'Ressourcen DB'!$G$2:$G$3</xm:f>
          </x14:formula1>
          <xm:sqref>C106:C146</xm:sqref>
        </x14:dataValidation>
        <x14:dataValidation type="list" allowBlank="1" showInputMessage="1" showErrorMessage="1">
          <x14:formula1>
            <xm:f>'ISM Klassifizierung'!$K$4:$K$11</xm:f>
          </x14:formula1>
          <xm:sqref>M152:M155</xm:sqref>
        </x14:dataValidation>
        <x14:dataValidation type="list" allowBlank="1" showErrorMessage="1">
          <x14:formula1>
            <xm:f>'Ressourcen DB'!$G$2:$G$3</xm:f>
          </x14:formula1>
          <xm:sqref>C78:C103 F56:F75 I12:I51 H78:H103</xm:sqref>
        </x14:dataValidation>
        <x14:dataValidation type="list" allowBlank="1" showErrorMessage="1">
          <x14:formula1>
            <xm:f>'ISM Klassifizierung'!$I$4:$I$11</xm:f>
          </x14:formula1>
          <xm:sqref>H12:H51</xm:sqref>
        </x14:dataValidation>
        <x14:dataValidation type="list" allowBlank="1" showInputMessage="1" showErrorMessage="1">
          <x14:formula1>
            <xm:f>Allgemein!$I$43:$I$82</xm:f>
          </x14:formula1>
          <xm:sqref>C56:E75</xm:sqref>
        </x14:dataValidation>
        <x14:dataValidation type="list" allowBlank="1" showInputMessage="1" showErrorMessage="1">
          <x14:formula1>
            <xm:f>Allgemein!$L$43:$L$82</xm:f>
          </x14:formula1>
          <xm:sqref>G56:J75</xm:sqref>
        </x14:dataValidation>
        <x14:dataValidation type="list" allowBlank="1" showErrorMessage="1">
          <x14:formula1>
            <xm:f>'ISM Klassifizierung'!$B$10:$B$13</xm:f>
          </x14:formula1>
          <xm:sqref>C12:F51</xm:sqref>
        </x14:dataValidation>
        <x14:dataValidation type="list" allowBlank="1" showInputMessage="1">
          <x14:formula1>
            <xm:f>'Software Inventar'!$C$4:$C$128</xm:f>
          </x14:formula1>
          <xm:sqref>A108:B146 A106:B106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tabColor rgb="FF148DEA"/>
    <pageSetUpPr fitToPage="1"/>
  </sheetPr>
  <dimension ref="A1:AQ225"/>
  <sheetViews>
    <sheetView showGridLines="0" zoomScale="120" zoomScaleNormal="120" workbookViewId="0">
      <pane xSplit="1" ySplit="11" topLeftCell="B12" activePane="bottomRight" state="frozen"/>
      <selection activeCell="F13" sqref="F13:H13"/>
      <selection pane="topRight" activeCell="F13" sqref="F13:H13"/>
      <selection pane="bottomLeft" activeCell="F13" sqref="F13:H13"/>
      <selection pane="bottomRight" activeCell="M115" sqref="M115"/>
    </sheetView>
  </sheetViews>
  <sheetFormatPr baseColWidth="10" defaultColWidth="11.42578125" defaultRowHeight="12" zeroHeight="1" x14ac:dyDescent="0.2"/>
  <cols>
    <col min="1" max="1" width="37.42578125" style="13" bestFit="1" customWidth="1"/>
    <col min="2" max="4" width="13.28515625" style="13" customWidth="1"/>
    <col min="5" max="5" width="13.28515625" style="13" hidden="1" customWidth="1"/>
    <col min="6" max="6" width="13.28515625" style="13" customWidth="1"/>
    <col min="7" max="7" width="17.28515625" style="13" bestFit="1" customWidth="1"/>
    <col min="8" max="10" width="13.28515625" style="13" customWidth="1"/>
    <col min="11" max="11" width="13.28515625" style="12" customWidth="1"/>
    <col min="12" max="16" width="13.28515625" style="13" customWidth="1"/>
    <col min="17" max="44" width="20" style="13" customWidth="1"/>
    <col min="45" max="16384" width="11.42578125" style="13"/>
  </cols>
  <sheetData>
    <row r="1" spans="1:11" s="12" customFormat="1" ht="68.25" customHeight="1" x14ac:dyDescent="0.35">
      <c r="B1" s="157" t="s">
        <v>367</v>
      </c>
      <c r="C1" s="157"/>
      <c r="D1" s="157"/>
      <c r="E1" s="157"/>
      <c r="F1" s="68"/>
      <c r="G1" s="68"/>
      <c r="H1" s="68"/>
      <c r="I1" s="68"/>
      <c r="J1" s="158"/>
      <c r="K1" s="158"/>
    </row>
    <row r="2" spans="1:11" s="12" customFormat="1" x14ac:dyDescent="0.2">
      <c r="A2" s="106"/>
      <c r="B2" s="159"/>
      <c r="C2" s="159"/>
      <c r="D2" s="159"/>
      <c r="E2" s="159"/>
      <c r="F2" s="159"/>
      <c r="G2" s="14"/>
      <c r="H2" s="14"/>
      <c r="I2" s="14"/>
      <c r="J2" s="14"/>
    </row>
    <row r="3" spans="1:11" s="12" customFormat="1" x14ac:dyDescent="0.2">
      <c r="A3" s="105" t="s">
        <v>228</v>
      </c>
      <c r="B3" s="160" t="s">
        <v>336</v>
      </c>
      <c r="C3" s="161"/>
      <c r="D3" s="161"/>
      <c r="E3" s="161"/>
      <c r="F3" s="162"/>
      <c r="G3" s="14"/>
      <c r="H3" s="14"/>
      <c r="I3" s="14"/>
      <c r="J3" s="14"/>
    </row>
    <row r="4" spans="1:11" s="12" customFormat="1" x14ac:dyDescent="0.2">
      <c r="A4" s="32" t="s">
        <v>59</v>
      </c>
      <c r="B4" s="160"/>
      <c r="C4" s="161"/>
      <c r="D4" s="161"/>
      <c r="E4" s="161"/>
      <c r="F4" s="162"/>
      <c r="G4" s="14"/>
      <c r="H4" s="14"/>
      <c r="I4" s="14"/>
      <c r="J4" s="14"/>
    </row>
    <row r="5" spans="1:11" s="12" customFormat="1" x14ac:dyDescent="0.2">
      <c r="A5" s="32" t="s">
        <v>60</v>
      </c>
      <c r="B5" s="166"/>
      <c r="C5" s="166"/>
      <c r="D5" s="166"/>
      <c r="E5" s="166"/>
      <c r="F5" s="166"/>
      <c r="G5" s="14"/>
      <c r="H5" s="14"/>
      <c r="I5" s="14"/>
    </row>
    <row r="6" spans="1:11" s="12" customFormat="1" x14ac:dyDescent="0.2">
      <c r="A6" s="32" t="s">
        <v>61</v>
      </c>
      <c r="B6" s="167"/>
      <c r="C6" s="166"/>
      <c r="D6" s="166"/>
      <c r="E6" s="166"/>
      <c r="F6" s="166"/>
      <c r="G6" s="14"/>
      <c r="H6" s="14"/>
      <c r="I6" s="14"/>
    </row>
    <row r="7" spans="1:11" s="12" customFormat="1" x14ac:dyDescent="0.2"/>
    <row r="8" spans="1:11" s="12" customFormat="1" x14ac:dyDescent="0.2"/>
    <row r="9" spans="1:11" s="12" customFormat="1" ht="17.25" customHeight="1" x14ac:dyDescent="0.2">
      <c r="A9" s="168" t="s">
        <v>62</v>
      </c>
      <c r="B9" s="169"/>
      <c r="C9" s="169"/>
      <c r="D9" s="169"/>
      <c r="E9" s="169"/>
      <c r="F9" s="169"/>
      <c r="G9" s="169"/>
      <c r="H9" s="169"/>
      <c r="I9" s="169"/>
      <c r="J9" s="170"/>
    </row>
    <row r="10" spans="1:11" s="12" customFormat="1" ht="18" customHeight="1" x14ac:dyDescent="0.2"/>
    <row r="11" spans="1:11" s="12" customFormat="1" ht="30.75" customHeight="1" x14ac:dyDescent="0.2">
      <c r="A11" s="74" t="s">
        <v>54</v>
      </c>
      <c r="B11" s="82" t="s">
        <v>63</v>
      </c>
      <c r="C11" s="74" t="s">
        <v>64</v>
      </c>
      <c r="D11" s="74" t="s">
        <v>65</v>
      </c>
      <c r="E11" s="103" t="s">
        <v>227</v>
      </c>
      <c r="F11" s="74" t="s">
        <v>67</v>
      </c>
      <c r="G11" s="74" t="s">
        <v>68</v>
      </c>
      <c r="H11" s="74"/>
      <c r="I11" s="74"/>
      <c r="J11" s="74" t="s">
        <v>70</v>
      </c>
    </row>
    <row r="12" spans="1:11" s="12" customFormat="1" ht="24" x14ac:dyDescent="0.2">
      <c r="A12" s="15" t="str">
        <f>IF(Allgemein!C43=0,"",Allgemein!C43)</f>
        <v>Arbeitsergebnisse</v>
      </c>
      <c r="B12" s="28" t="s">
        <v>343</v>
      </c>
      <c r="C12" s="28" t="s">
        <v>262</v>
      </c>
      <c r="D12" s="28" t="s">
        <v>262</v>
      </c>
      <c r="E12" s="104"/>
      <c r="F12" s="28" t="s">
        <v>262</v>
      </c>
      <c r="G12" s="28" t="s">
        <v>356</v>
      </c>
      <c r="H12" s="28"/>
      <c r="I12" s="28"/>
      <c r="J12" s="83"/>
      <c r="K12" s="16"/>
    </row>
    <row r="13" spans="1:11" s="12" customFormat="1" ht="11.45" customHeight="1" x14ac:dyDescent="0.2">
      <c r="A13" s="15" t="str">
        <f>IF(Allgemein!C44=0,"",Allgemein!C44)</f>
        <v>Projektdokumentation</v>
      </c>
      <c r="B13" s="28" t="s">
        <v>343</v>
      </c>
      <c r="C13" s="28" t="s">
        <v>263</v>
      </c>
      <c r="D13" s="28" t="s">
        <v>262</v>
      </c>
      <c r="E13" s="104"/>
      <c r="F13" s="28" t="s">
        <v>262</v>
      </c>
      <c r="G13" s="28" t="s">
        <v>356</v>
      </c>
      <c r="H13" s="28"/>
      <c r="I13" s="28"/>
      <c r="J13" s="83"/>
      <c r="K13" s="16"/>
    </row>
    <row r="14" spans="1:11" s="12" customFormat="1" x14ac:dyDescent="0.2">
      <c r="A14" s="15" t="str">
        <f>IF(Allgemein!C45=0,"",Allgemein!C45)</f>
        <v>IT-System- und Dokumentenmanagement</v>
      </c>
      <c r="B14" s="28" t="s">
        <v>353</v>
      </c>
      <c r="C14" s="28"/>
      <c r="D14" s="28"/>
      <c r="E14" s="104"/>
      <c r="F14" s="28"/>
      <c r="G14" s="28"/>
      <c r="H14" s="28"/>
      <c r="I14" s="28"/>
      <c r="J14" s="83"/>
      <c r="K14" s="16"/>
    </row>
    <row r="15" spans="1:11" s="12" customFormat="1" ht="24" x14ac:dyDescent="0.2">
      <c r="A15" s="15" t="str">
        <f>IF(Allgemein!C46=0,"",Allgemein!C46)</f>
        <v>Altprojektdatenbank</v>
      </c>
      <c r="B15" s="28" t="s">
        <v>343</v>
      </c>
      <c r="C15" s="28" t="s">
        <v>263</v>
      </c>
      <c r="D15" s="28" t="s">
        <v>263</v>
      </c>
      <c r="E15" s="104"/>
      <c r="F15" s="28" t="s">
        <v>262</v>
      </c>
      <c r="G15" s="28" t="s">
        <v>356</v>
      </c>
      <c r="H15" s="28"/>
      <c r="I15" s="28"/>
      <c r="J15" s="83"/>
      <c r="K15" s="16"/>
    </row>
    <row r="16" spans="1:11" s="12" customFormat="1" ht="24" x14ac:dyDescent="0.2">
      <c r="A16" s="15" t="str">
        <f>IF(Allgemein!C47=0,"",Allgemein!C47)</f>
        <v>Projektfeinplanung (Arbeitspakete - Git Tickets)</v>
      </c>
      <c r="B16" s="28" t="s">
        <v>343</v>
      </c>
      <c r="C16" s="28" t="s">
        <v>262</v>
      </c>
      <c r="D16" s="28" t="s">
        <v>262</v>
      </c>
      <c r="E16" s="104"/>
      <c r="F16" s="28" t="s">
        <v>262</v>
      </c>
      <c r="G16" s="28" t="s">
        <v>356</v>
      </c>
      <c r="H16" s="28"/>
      <c r="I16" s="28"/>
      <c r="J16" s="28"/>
      <c r="K16" s="16"/>
    </row>
    <row r="17" spans="1:11" s="12" customFormat="1" ht="24" x14ac:dyDescent="0.2">
      <c r="A17" s="15" t="str">
        <f>IF(Allgemein!C48=0,"",Allgemein!C48)</f>
        <v>Projektgrobplanung</v>
      </c>
      <c r="B17" s="28" t="s">
        <v>343</v>
      </c>
      <c r="C17" s="28" t="s">
        <v>262</v>
      </c>
      <c r="D17" s="28" t="s">
        <v>262</v>
      </c>
      <c r="E17" s="104"/>
      <c r="F17" s="28" t="s">
        <v>262</v>
      </c>
      <c r="G17" s="28" t="s">
        <v>356</v>
      </c>
      <c r="H17" s="28"/>
      <c r="I17" s="28"/>
      <c r="J17" s="28"/>
      <c r="K17" s="16"/>
    </row>
    <row r="18" spans="1:11" s="12" customFormat="1" x14ac:dyDescent="0.2">
      <c r="A18" s="15" t="str">
        <f>IF(Allgemein!C49=0,"",Allgemein!C49)</f>
        <v>Rechnungsmanagement</v>
      </c>
      <c r="B18" s="28" t="s">
        <v>353</v>
      </c>
      <c r="C18" s="28"/>
      <c r="D18" s="28"/>
      <c r="E18" s="104"/>
      <c r="F18" s="28"/>
      <c r="G18" s="28"/>
      <c r="H18" s="28"/>
      <c r="I18" s="28"/>
      <c r="J18" s="28"/>
      <c r="K18" s="16"/>
    </row>
    <row r="19" spans="1:11" s="12" customFormat="1" x14ac:dyDescent="0.2">
      <c r="A19" s="15" t="str">
        <f>IF(Allgemein!C50=0,"",Allgemein!C50)</f>
        <v>Projektbasierte Risikoanalyse</v>
      </c>
      <c r="B19" s="28" t="s">
        <v>353</v>
      </c>
      <c r="C19" s="28"/>
      <c r="D19" s="28"/>
      <c r="E19" s="104"/>
      <c r="F19" s="28"/>
      <c r="G19" s="28"/>
      <c r="H19" s="28"/>
      <c r="I19" s="28"/>
      <c r="J19" s="28"/>
      <c r="K19" s="16"/>
    </row>
    <row r="20" spans="1:11" s="12" customFormat="1" ht="24" x14ac:dyDescent="0.2">
      <c r="A20" s="15" t="str">
        <f>IF(Allgemein!C51=0,"",Allgemein!C51)</f>
        <v>Wiki Wissensdatenbank</v>
      </c>
      <c r="B20" s="28" t="s">
        <v>343</v>
      </c>
      <c r="C20" s="28" t="s">
        <v>262</v>
      </c>
      <c r="D20" s="28" t="s">
        <v>262</v>
      </c>
      <c r="E20" s="104"/>
      <c r="F20" s="28" t="s">
        <v>262</v>
      </c>
      <c r="G20" s="28" t="s">
        <v>356</v>
      </c>
      <c r="H20" s="28"/>
      <c r="I20" s="28"/>
      <c r="J20" s="28"/>
      <c r="K20" s="16"/>
    </row>
    <row r="21" spans="1:11" s="12" customFormat="1" x14ac:dyDescent="0.2">
      <c r="A21" s="15" t="str">
        <f>IF(Allgemein!C52=0,"",Allgemein!C52)</f>
        <v>Source Code</v>
      </c>
      <c r="B21" s="28" t="s">
        <v>353</v>
      </c>
      <c r="C21" s="28"/>
      <c r="D21" s="28"/>
      <c r="E21" s="104"/>
      <c r="F21" s="28"/>
      <c r="G21" s="28"/>
      <c r="H21" s="28"/>
      <c r="I21" s="28"/>
      <c r="J21" s="28"/>
      <c r="K21" s="16"/>
    </row>
    <row r="22" spans="1:11" s="12" customFormat="1" x14ac:dyDescent="0.2">
      <c r="A22" s="15" t="str">
        <f>IF(Allgemein!C53=0,"",Allgemein!C53)</f>
        <v>Missionsdaten</v>
      </c>
      <c r="B22" s="28" t="s">
        <v>353</v>
      </c>
      <c r="C22" s="28"/>
      <c r="D22" s="28"/>
      <c r="E22" s="104"/>
      <c r="F22" s="28"/>
      <c r="G22" s="28"/>
      <c r="H22" s="28"/>
      <c r="I22" s="28"/>
      <c r="J22" s="28"/>
      <c r="K22" s="16"/>
    </row>
    <row r="23" spans="1:11" s="12" customFormat="1" x14ac:dyDescent="0.2">
      <c r="A23" s="15" t="str">
        <f>IF(Allgemein!C54=0,"",Allgemein!C54)</f>
        <v>Schlüsselmaterial Mission</v>
      </c>
      <c r="B23" s="28" t="s">
        <v>353</v>
      </c>
      <c r="C23" s="28"/>
      <c r="D23" s="28"/>
      <c r="E23" s="104"/>
      <c r="F23" s="28"/>
      <c r="G23" s="28"/>
      <c r="H23" s="28"/>
      <c r="I23" s="28"/>
      <c r="J23" s="28"/>
      <c r="K23" s="16"/>
    </row>
    <row r="24" spans="1:11" s="12" customFormat="1" x14ac:dyDescent="0.2">
      <c r="A24" s="15" t="str">
        <f>IF(Allgemein!C55=0,"",Allgemein!C55)</f>
        <v/>
      </c>
      <c r="B24" s="28"/>
      <c r="C24" s="28"/>
      <c r="D24" s="28"/>
      <c r="E24" s="104"/>
      <c r="F24" s="28"/>
      <c r="G24" s="28"/>
      <c r="H24" s="28"/>
      <c r="I24" s="28"/>
      <c r="J24" s="28"/>
      <c r="K24" s="16"/>
    </row>
    <row r="25" spans="1:11" s="12" customFormat="1" x14ac:dyDescent="0.2">
      <c r="A25" s="15" t="str">
        <f>IF(Allgemein!C56=0,"",Allgemein!C56)</f>
        <v/>
      </c>
      <c r="B25" s="28"/>
      <c r="C25" s="28"/>
      <c r="D25" s="28"/>
      <c r="E25" s="104"/>
      <c r="F25" s="28"/>
      <c r="G25" s="28"/>
      <c r="H25" s="28"/>
      <c r="I25" s="28"/>
      <c r="J25" s="28"/>
      <c r="K25" s="16"/>
    </row>
    <row r="26" spans="1:11" s="12" customFormat="1" x14ac:dyDescent="0.2">
      <c r="A26" s="15" t="str">
        <f>IF(Allgemein!C57=0,"",Allgemein!C57)</f>
        <v/>
      </c>
      <c r="B26" s="28"/>
      <c r="C26" s="28"/>
      <c r="D26" s="28"/>
      <c r="E26" s="104"/>
      <c r="F26" s="28"/>
      <c r="G26" s="28"/>
      <c r="H26" s="28"/>
      <c r="I26" s="28"/>
      <c r="J26" s="28"/>
      <c r="K26" s="16"/>
    </row>
    <row r="27" spans="1:11" s="12" customFormat="1" hidden="1" x14ac:dyDescent="0.2">
      <c r="A27" s="15" t="str">
        <f>IF(Allgemein!C58=0,"",Allgemein!C58)</f>
        <v/>
      </c>
      <c r="B27" s="28"/>
      <c r="C27" s="28"/>
      <c r="D27" s="28"/>
      <c r="E27" s="104"/>
      <c r="F27" s="28"/>
      <c r="G27" s="28"/>
      <c r="H27" s="28"/>
      <c r="I27" s="28"/>
      <c r="J27" s="28"/>
      <c r="K27" s="16"/>
    </row>
    <row r="28" spans="1:11" s="12" customFormat="1" hidden="1" x14ac:dyDescent="0.2">
      <c r="A28" s="15" t="str">
        <f>IF(Allgemein!C59=0,"",Allgemein!C59)</f>
        <v/>
      </c>
      <c r="B28" s="28"/>
      <c r="C28" s="28"/>
      <c r="D28" s="28"/>
      <c r="E28" s="104"/>
      <c r="F28" s="28"/>
      <c r="G28" s="28"/>
      <c r="H28" s="28"/>
      <c r="I28" s="28"/>
      <c r="J28" s="28"/>
      <c r="K28" s="16"/>
    </row>
    <row r="29" spans="1:11" s="12" customFormat="1" hidden="1" x14ac:dyDescent="0.2">
      <c r="A29" s="15" t="str">
        <f>IF(Allgemein!C60=0,"",Allgemein!C60)</f>
        <v/>
      </c>
      <c r="B29" s="28"/>
      <c r="C29" s="28"/>
      <c r="D29" s="28"/>
      <c r="E29" s="104"/>
      <c r="F29" s="28"/>
      <c r="G29" s="28"/>
      <c r="H29" s="28"/>
      <c r="I29" s="28"/>
      <c r="J29" s="28"/>
      <c r="K29" s="16"/>
    </row>
    <row r="30" spans="1:11" s="12" customFormat="1" hidden="1" x14ac:dyDescent="0.2">
      <c r="A30" s="15" t="str">
        <f>IF(Allgemein!C61=0,"",Allgemein!C61)</f>
        <v/>
      </c>
      <c r="B30" s="28"/>
      <c r="C30" s="28"/>
      <c r="D30" s="28"/>
      <c r="E30" s="104"/>
      <c r="F30" s="28"/>
      <c r="G30" s="28"/>
      <c r="H30" s="28"/>
      <c r="I30" s="28"/>
      <c r="J30" s="28"/>
      <c r="K30" s="16"/>
    </row>
    <row r="31" spans="1:11" s="12" customFormat="1" hidden="1" x14ac:dyDescent="0.2">
      <c r="A31" s="15" t="str">
        <f>IF(Allgemein!C62=0,"",Allgemein!C62)</f>
        <v/>
      </c>
      <c r="B31" s="28"/>
      <c r="C31" s="28"/>
      <c r="D31" s="28"/>
      <c r="E31" s="104"/>
      <c r="F31" s="28"/>
      <c r="G31" s="28"/>
      <c r="H31" s="28"/>
      <c r="I31" s="28"/>
      <c r="J31" s="28"/>
      <c r="K31" s="16"/>
    </row>
    <row r="32" spans="1:11" s="12" customFormat="1" hidden="1" x14ac:dyDescent="0.2">
      <c r="A32" s="15" t="str">
        <f>IF(Allgemein!C63=0,"",Allgemein!C63)</f>
        <v/>
      </c>
      <c r="B32" s="28"/>
      <c r="C32" s="28"/>
      <c r="D32" s="28"/>
      <c r="E32" s="104"/>
      <c r="F32" s="28"/>
      <c r="G32" s="28"/>
      <c r="H32" s="28"/>
      <c r="I32" s="28"/>
      <c r="J32" s="28"/>
      <c r="K32" s="16"/>
    </row>
    <row r="33" spans="1:11" s="12" customFormat="1" hidden="1" x14ac:dyDescent="0.2">
      <c r="A33" s="15" t="str">
        <f>IF(Allgemein!C64=0,"",Allgemein!C64)</f>
        <v/>
      </c>
      <c r="B33" s="28"/>
      <c r="C33" s="28"/>
      <c r="D33" s="28"/>
      <c r="E33" s="104"/>
      <c r="F33" s="28"/>
      <c r="G33" s="28"/>
      <c r="H33" s="28"/>
      <c r="I33" s="28"/>
      <c r="J33" s="28"/>
      <c r="K33" s="16"/>
    </row>
    <row r="34" spans="1:11" s="12" customFormat="1" hidden="1" x14ac:dyDescent="0.2">
      <c r="A34" s="15" t="str">
        <f>IF(Allgemein!C65=0,"",Allgemein!C65)</f>
        <v/>
      </c>
      <c r="B34" s="28"/>
      <c r="C34" s="28"/>
      <c r="D34" s="28"/>
      <c r="E34" s="104"/>
      <c r="F34" s="28"/>
      <c r="G34" s="28"/>
      <c r="H34" s="28"/>
      <c r="I34" s="28"/>
      <c r="J34" s="28"/>
      <c r="K34" s="16"/>
    </row>
    <row r="35" spans="1:11" s="12" customFormat="1" hidden="1" x14ac:dyDescent="0.2">
      <c r="A35" s="15" t="str">
        <f>IF(Allgemein!C66=0,"",Allgemein!C66)</f>
        <v/>
      </c>
      <c r="B35" s="28"/>
      <c r="C35" s="28"/>
      <c r="D35" s="28"/>
      <c r="E35" s="104"/>
      <c r="F35" s="28"/>
      <c r="G35" s="28"/>
      <c r="H35" s="28"/>
      <c r="I35" s="28"/>
      <c r="J35" s="28"/>
      <c r="K35" s="16"/>
    </row>
    <row r="36" spans="1:11" s="12" customFormat="1" ht="11.45" hidden="1" customHeight="1" x14ac:dyDescent="0.2">
      <c r="A36" s="15" t="str">
        <f>IF(Allgemein!C67=0,"",Allgemein!C67)</f>
        <v/>
      </c>
      <c r="B36" s="28"/>
      <c r="C36" s="28"/>
      <c r="D36" s="28"/>
      <c r="E36" s="104"/>
      <c r="F36" s="28"/>
      <c r="G36" s="28"/>
      <c r="H36" s="28"/>
      <c r="I36" s="28"/>
      <c r="J36" s="28"/>
      <c r="K36" s="16"/>
    </row>
    <row r="37" spans="1:11" s="12" customFormat="1" ht="11.45" hidden="1" customHeight="1" x14ac:dyDescent="0.2">
      <c r="A37" s="15" t="str">
        <f>IF(Allgemein!C68=0,"",Allgemein!C68)</f>
        <v/>
      </c>
      <c r="B37" s="28"/>
      <c r="C37" s="28"/>
      <c r="D37" s="28"/>
      <c r="E37" s="104"/>
      <c r="F37" s="28"/>
      <c r="G37" s="28"/>
      <c r="H37" s="28"/>
      <c r="I37" s="28"/>
      <c r="J37" s="28"/>
      <c r="K37" s="16"/>
    </row>
    <row r="38" spans="1:11" s="12" customFormat="1" hidden="1" x14ac:dyDescent="0.2">
      <c r="A38" s="15" t="str">
        <f>IF(Allgemein!C69=0,"",Allgemein!C69)</f>
        <v/>
      </c>
      <c r="B38" s="28"/>
      <c r="C38" s="28"/>
      <c r="D38" s="28"/>
      <c r="E38" s="104"/>
      <c r="F38" s="28"/>
      <c r="G38" s="28"/>
      <c r="H38" s="28"/>
      <c r="I38" s="28"/>
      <c r="J38" s="28"/>
    </row>
    <row r="39" spans="1:11" s="12" customFormat="1" hidden="1" x14ac:dyDescent="0.2">
      <c r="A39" s="15" t="str">
        <f>IF(Allgemein!C70=0,"",Allgemein!C70)</f>
        <v/>
      </c>
      <c r="B39" s="28"/>
      <c r="C39" s="28"/>
      <c r="D39" s="28"/>
      <c r="E39" s="104"/>
      <c r="F39" s="28"/>
      <c r="G39" s="28"/>
      <c r="H39" s="28"/>
      <c r="I39" s="28"/>
      <c r="J39" s="28"/>
    </row>
    <row r="40" spans="1:11" s="12" customFormat="1" hidden="1" x14ac:dyDescent="0.2">
      <c r="A40" s="15" t="str">
        <f>IF(Allgemein!C71=0,"",Allgemein!C71)</f>
        <v/>
      </c>
      <c r="B40" s="28"/>
      <c r="C40" s="28"/>
      <c r="D40" s="28"/>
      <c r="E40" s="104"/>
      <c r="F40" s="28"/>
      <c r="G40" s="28"/>
      <c r="H40" s="28"/>
      <c r="I40" s="28"/>
      <c r="J40" s="28"/>
    </row>
    <row r="41" spans="1:11" s="12" customFormat="1" ht="11.45" hidden="1" customHeight="1" x14ac:dyDescent="0.2">
      <c r="A41" s="15" t="str">
        <f>IF(Allgemein!C72=0,"",Allgemein!C72)</f>
        <v/>
      </c>
      <c r="B41" s="28"/>
      <c r="C41" s="28"/>
      <c r="D41" s="28"/>
      <c r="E41" s="104"/>
      <c r="F41" s="28"/>
      <c r="G41" s="28"/>
      <c r="H41" s="28"/>
      <c r="I41" s="28"/>
      <c r="J41" s="28"/>
    </row>
    <row r="42" spans="1:11" s="12" customFormat="1" ht="11.45" hidden="1" customHeight="1" x14ac:dyDescent="0.2">
      <c r="A42" s="15" t="str">
        <f>IF(Allgemein!C73=0,"",Allgemein!C73)</f>
        <v/>
      </c>
      <c r="B42" s="28"/>
      <c r="C42" s="28"/>
      <c r="D42" s="28"/>
      <c r="E42" s="104"/>
      <c r="F42" s="28"/>
      <c r="G42" s="28"/>
      <c r="H42" s="28"/>
      <c r="I42" s="28"/>
      <c r="J42" s="28"/>
    </row>
    <row r="43" spans="1:11" s="12" customFormat="1" ht="11.45" hidden="1" customHeight="1" x14ac:dyDescent="0.2">
      <c r="A43" s="15" t="str">
        <f>IF(Allgemein!C74=0,"",Allgemein!C74)</f>
        <v/>
      </c>
      <c r="B43" s="28"/>
      <c r="C43" s="28"/>
      <c r="D43" s="28"/>
      <c r="E43" s="104"/>
      <c r="F43" s="28"/>
      <c r="G43" s="28"/>
      <c r="H43" s="28"/>
      <c r="I43" s="28"/>
      <c r="J43" s="28"/>
    </row>
    <row r="44" spans="1:11" s="12" customFormat="1" ht="11.45" hidden="1" customHeight="1" x14ac:dyDescent="0.2">
      <c r="A44" s="15" t="str">
        <f>IF(Allgemein!C75=0,"",Allgemein!C75)</f>
        <v/>
      </c>
      <c r="B44" s="28"/>
      <c r="C44" s="28"/>
      <c r="D44" s="28"/>
      <c r="E44" s="104"/>
      <c r="F44" s="28"/>
      <c r="G44" s="28"/>
      <c r="H44" s="28"/>
      <c r="I44" s="28"/>
      <c r="J44" s="28"/>
    </row>
    <row r="45" spans="1:11" s="12" customFormat="1" ht="11.45" hidden="1" customHeight="1" x14ac:dyDescent="0.2">
      <c r="A45" s="15" t="str">
        <f>IF(Allgemein!C76=0,"",Allgemein!C76)</f>
        <v/>
      </c>
      <c r="B45" s="28"/>
      <c r="C45" s="28"/>
      <c r="D45" s="28"/>
      <c r="E45" s="104"/>
      <c r="F45" s="28"/>
      <c r="G45" s="28"/>
      <c r="H45" s="28"/>
      <c r="I45" s="28"/>
      <c r="J45" s="28"/>
    </row>
    <row r="46" spans="1:11" s="12" customFormat="1" ht="11.45" hidden="1" customHeight="1" x14ac:dyDescent="0.2">
      <c r="A46" s="15" t="str">
        <f>IF(Allgemein!C77=0,"",Allgemein!C77)</f>
        <v/>
      </c>
      <c r="B46" s="28"/>
      <c r="C46" s="28"/>
      <c r="D46" s="28"/>
      <c r="E46" s="104"/>
      <c r="F46" s="28"/>
      <c r="G46" s="28"/>
      <c r="H46" s="28"/>
      <c r="I46" s="28"/>
      <c r="J46" s="28"/>
    </row>
    <row r="47" spans="1:11" s="12" customFormat="1" ht="11.45" hidden="1" customHeight="1" x14ac:dyDescent="0.2">
      <c r="A47" s="15" t="str">
        <f>IF(Allgemein!C78=0,"",Allgemein!C78)</f>
        <v/>
      </c>
      <c r="B47" s="28"/>
      <c r="C47" s="28"/>
      <c r="D47" s="28"/>
      <c r="E47" s="104"/>
      <c r="F47" s="28"/>
      <c r="G47" s="28"/>
      <c r="H47" s="28"/>
      <c r="I47" s="28"/>
      <c r="J47" s="28"/>
    </row>
    <row r="48" spans="1:11" s="12" customFormat="1" ht="11.45" hidden="1" customHeight="1" x14ac:dyDescent="0.2">
      <c r="A48" s="15" t="str">
        <f>IF(Allgemein!C79=0,"",Allgemein!C79)</f>
        <v/>
      </c>
      <c r="B48" s="28"/>
      <c r="C48" s="28"/>
      <c r="D48" s="28"/>
      <c r="E48" s="104"/>
      <c r="F48" s="28"/>
      <c r="G48" s="28"/>
      <c r="H48" s="28"/>
      <c r="I48" s="28"/>
      <c r="J48" s="28"/>
    </row>
    <row r="49" spans="1:18" s="12" customFormat="1" ht="11.45" hidden="1" customHeight="1" x14ac:dyDescent="0.2">
      <c r="A49" s="15" t="str">
        <f>IF(Allgemein!C80=0,"",Allgemein!C80)</f>
        <v/>
      </c>
      <c r="B49" s="28"/>
      <c r="C49" s="28"/>
      <c r="D49" s="28"/>
      <c r="E49" s="104"/>
      <c r="F49" s="28"/>
      <c r="G49" s="28"/>
      <c r="H49" s="28"/>
      <c r="I49" s="28"/>
      <c r="J49" s="28"/>
    </row>
    <row r="50" spans="1:18" s="12" customFormat="1" ht="11.45" hidden="1" customHeight="1" x14ac:dyDescent="0.2">
      <c r="A50" s="15" t="str">
        <f>IF(Allgemein!C81=0,"",Allgemein!C81)</f>
        <v/>
      </c>
      <c r="B50" s="28"/>
      <c r="C50" s="28"/>
      <c r="D50" s="28"/>
      <c r="E50" s="104"/>
      <c r="F50" s="28"/>
      <c r="G50" s="28"/>
      <c r="H50" s="28"/>
      <c r="I50" s="28"/>
      <c r="J50" s="28"/>
    </row>
    <row r="51" spans="1:18" s="12" customFormat="1" ht="11.45" hidden="1" customHeight="1" x14ac:dyDescent="0.2">
      <c r="A51" s="15" t="str">
        <f>IF(Allgemein!C82=0,"",Allgemein!C82)</f>
        <v/>
      </c>
      <c r="B51" s="28"/>
      <c r="C51" s="28"/>
      <c r="D51" s="28"/>
      <c r="E51" s="104"/>
      <c r="F51" s="28"/>
      <c r="G51" s="28"/>
      <c r="H51" s="28"/>
      <c r="I51" s="28"/>
      <c r="J51" s="28"/>
    </row>
    <row r="52" spans="1:18" s="12" customFormat="1" x14ac:dyDescent="0.2"/>
    <row r="53" spans="1:18" s="12" customFormat="1" ht="18" customHeight="1" x14ac:dyDescent="0.2">
      <c r="A53" s="171" t="s">
        <v>76</v>
      </c>
      <c r="B53" s="171"/>
      <c r="C53" s="171"/>
      <c r="D53" s="171"/>
      <c r="E53" s="171"/>
      <c r="F53" s="171"/>
      <c r="G53" s="171"/>
      <c r="H53" s="171"/>
      <c r="I53" s="171"/>
      <c r="J53" s="171"/>
      <c r="K53" s="171"/>
      <c r="L53" s="171"/>
      <c r="M53" s="171"/>
      <c r="N53" s="171"/>
      <c r="O53" s="171"/>
      <c r="P53" s="171"/>
      <c r="Q53" s="171"/>
      <c r="R53" s="171"/>
    </row>
    <row r="54" spans="1:18" s="12" customFormat="1" ht="18" customHeight="1" x14ac:dyDescent="0.2">
      <c r="K54" s="172"/>
      <c r="L54" s="172"/>
      <c r="M54" s="172"/>
      <c r="N54" s="172"/>
      <c r="O54" s="172"/>
      <c r="P54" s="172"/>
      <c r="Q54" s="172"/>
      <c r="R54" s="172"/>
    </row>
    <row r="55" spans="1:18" s="12" customFormat="1" ht="24" hidden="1" x14ac:dyDescent="0.2">
      <c r="A55" s="74" t="s">
        <v>55</v>
      </c>
      <c r="B55" s="82" t="s">
        <v>63</v>
      </c>
      <c r="C55" s="153" t="s">
        <v>77</v>
      </c>
      <c r="D55" s="154"/>
      <c r="E55" s="155"/>
      <c r="F55" s="74"/>
      <c r="G55" s="153" t="s">
        <v>78</v>
      </c>
      <c r="H55" s="154"/>
      <c r="I55" s="154"/>
      <c r="J55" s="155"/>
      <c r="K55" s="74" t="str">
        <f>B151</f>
        <v>≤ 1 d</v>
      </c>
      <c r="L55" s="74" t="str">
        <f t="shared" ref="L55:R55" si="0">C151</f>
        <v>≤ 3 d</v>
      </c>
      <c r="M55" s="74" t="str">
        <f t="shared" si="0"/>
        <v>≤ 7 d</v>
      </c>
      <c r="N55" s="74" t="str">
        <f t="shared" si="0"/>
        <v>≤ 7 d</v>
      </c>
      <c r="O55" s="74" t="str">
        <f t="shared" si="0"/>
        <v>≤ 14 d</v>
      </c>
      <c r="P55" s="74">
        <f t="shared" si="0"/>
        <v>0</v>
      </c>
      <c r="Q55" s="74" t="str">
        <f t="shared" si="0"/>
        <v/>
      </c>
      <c r="R55" s="74" t="str">
        <f t="shared" si="0"/>
        <v/>
      </c>
    </row>
    <row r="56" spans="1:18" s="12" customFormat="1" hidden="1" x14ac:dyDescent="0.2">
      <c r="A56" s="15" t="str">
        <f>IF(Allgemein!F43=0,"",Allgemein!F43)</f>
        <v>Technische Universität Berlin</v>
      </c>
      <c r="B56" s="28"/>
      <c r="C56" s="163"/>
      <c r="D56" s="164"/>
      <c r="E56" s="165"/>
      <c r="F56" s="28"/>
      <c r="G56" s="163"/>
      <c r="H56" s="164"/>
      <c r="I56" s="164"/>
      <c r="J56" s="165"/>
      <c r="K56" s="77"/>
      <c r="L56" s="77"/>
      <c r="M56" s="77"/>
      <c r="N56" s="77"/>
      <c r="O56" s="77"/>
      <c r="P56" s="77"/>
      <c r="Q56" s="77"/>
      <c r="R56" s="77"/>
    </row>
    <row r="57" spans="1:18" s="12" customFormat="1" ht="12" hidden="1" customHeight="1" x14ac:dyDescent="0.2">
      <c r="A57" s="15" t="str">
        <f>IF(Allgemein!F44=0,"",Allgemein!F44)</f>
        <v>Deutsches Luft- und Raumfahrtzentrum</v>
      </c>
      <c r="B57" s="28"/>
      <c r="C57" s="163"/>
      <c r="D57" s="164"/>
      <c r="E57" s="165"/>
      <c r="F57" s="28"/>
      <c r="G57" s="163"/>
      <c r="H57" s="164"/>
      <c r="I57" s="164"/>
      <c r="J57" s="165"/>
      <c r="K57" s="77"/>
      <c r="L57" s="77"/>
      <c r="M57" s="77"/>
      <c r="N57" s="77"/>
      <c r="O57" s="77"/>
      <c r="P57" s="77"/>
      <c r="Q57" s="77"/>
      <c r="R57" s="77"/>
    </row>
    <row r="58" spans="1:18" s="12" customFormat="1" ht="24" hidden="1" x14ac:dyDescent="0.2">
      <c r="A58" s="15" t="str">
        <f>IF(Allgemein!F45=0,"",Allgemein!F45)</f>
        <v>Deutsches Zentrum für Satelliten-Kommunikation</v>
      </c>
      <c r="B58" s="28"/>
      <c r="C58" s="163"/>
      <c r="D58" s="164"/>
      <c r="E58" s="165"/>
      <c r="F58" s="28"/>
      <c r="G58" s="163"/>
      <c r="H58" s="164"/>
      <c r="I58" s="164"/>
      <c r="J58" s="165"/>
      <c r="K58" s="77"/>
      <c r="L58" s="77"/>
      <c r="M58" s="77"/>
      <c r="N58" s="77"/>
      <c r="O58" s="77"/>
      <c r="P58" s="77"/>
      <c r="Q58" s="77"/>
      <c r="R58" s="77"/>
    </row>
    <row r="59" spans="1:18" s="12" customFormat="1" hidden="1" x14ac:dyDescent="0.2">
      <c r="A59" s="15" t="str">
        <f>IF(Allgemein!F46=0,"",Allgemein!F46)</f>
        <v>bdew/Vattenfall</v>
      </c>
      <c r="B59" s="28"/>
      <c r="C59" s="163"/>
      <c r="D59" s="164"/>
      <c r="E59" s="165"/>
      <c r="F59" s="28"/>
      <c r="G59" s="163"/>
      <c r="H59" s="164"/>
      <c r="I59" s="164"/>
      <c r="J59" s="165"/>
      <c r="K59" s="77"/>
      <c r="L59" s="77"/>
      <c r="M59" s="77"/>
      <c r="N59" s="77"/>
      <c r="O59" s="77"/>
      <c r="P59" s="77"/>
      <c r="Q59" s="77"/>
      <c r="R59" s="77"/>
    </row>
    <row r="60" spans="1:18" s="12" customFormat="1" ht="12" hidden="1" customHeight="1" x14ac:dyDescent="0.2">
      <c r="A60" s="15" t="str">
        <f>IF(Allgemein!F47=0,"",Allgemein!F47)</f>
        <v>Ruhr-Universität Bochum</v>
      </c>
      <c r="B60" s="28"/>
      <c r="C60" s="163"/>
      <c r="D60" s="164"/>
      <c r="E60" s="165"/>
      <c r="F60" s="28"/>
      <c r="G60" s="163"/>
      <c r="H60" s="164"/>
      <c r="I60" s="164"/>
      <c r="J60" s="165"/>
      <c r="K60" s="77"/>
      <c r="L60" s="77"/>
      <c r="M60" s="77"/>
      <c r="N60" s="77"/>
      <c r="O60" s="77"/>
      <c r="P60" s="77"/>
      <c r="Q60" s="77"/>
      <c r="R60" s="77"/>
    </row>
    <row r="61" spans="1:18" s="12" customFormat="1" hidden="1" x14ac:dyDescent="0.2">
      <c r="A61" s="15" t="str">
        <f>IF(Allgemein!F48=0,"",Allgemein!F48)</f>
        <v>QuantiCor</v>
      </c>
      <c r="B61" s="28"/>
      <c r="C61" s="163"/>
      <c r="D61" s="164"/>
      <c r="E61" s="165"/>
      <c r="F61" s="28"/>
      <c r="G61" s="163"/>
      <c r="H61" s="164"/>
      <c r="I61" s="164"/>
      <c r="J61" s="165"/>
      <c r="K61" s="77"/>
      <c r="L61" s="77"/>
      <c r="M61" s="77"/>
      <c r="N61" s="77"/>
      <c r="O61" s="77"/>
      <c r="P61" s="77"/>
      <c r="Q61" s="77"/>
      <c r="R61" s="77"/>
    </row>
    <row r="62" spans="1:18" s="12" customFormat="1" hidden="1" x14ac:dyDescent="0.2">
      <c r="A62" s="15" t="str">
        <f>IF(Allgemein!F49=0,"",Allgemein!F49)</f>
        <v>Berlin Nanosatellite Alliance</v>
      </c>
      <c r="B62" s="28"/>
      <c r="C62" s="163"/>
      <c r="D62" s="164"/>
      <c r="E62" s="165"/>
      <c r="F62" s="28"/>
      <c r="G62" s="163"/>
      <c r="H62" s="164"/>
      <c r="I62" s="164"/>
      <c r="J62" s="165"/>
      <c r="K62" s="77"/>
      <c r="L62" s="77"/>
      <c r="M62" s="77"/>
      <c r="N62" s="77"/>
      <c r="O62" s="77"/>
      <c r="P62" s="77"/>
      <c r="Q62" s="77"/>
      <c r="R62" s="77"/>
    </row>
    <row r="63" spans="1:18" s="12" customFormat="1" ht="12" hidden="1" customHeight="1" x14ac:dyDescent="0.2">
      <c r="A63" s="15" t="str">
        <f>IF(Allgemein!F50=0,"",Allgemein!F50)</f>
        <v/>
      </c>
      <c r="B63" s="28"/>
      <c r="C63" s="163"/>
      <c r="D63" s="164"/>
      <c r="E63" s="165"/>
      <c r="F63" s="28"/>
      <c r="G63" s="163"/>
      <c r="H63" s="164"/>
      <c r="I63" s="164"/>
      <c r="J63" s="165"/>
      <c r="K63" s="77"/>
      <c r="L63" s="77"/>
      <c r="M63" s="77"/>
      <c r="N63" s="77"/>
      <c r="O63" s="77"/>
      <c r="P63" s="77"/>
      <c r="Q63" s="77"/>
      <c r="R63" s="77"/>
    </row>
    <row r="64" spans="1:18" s="12" customFormat="1" hidden="1" x14ac:dyDescent="0.2">
      <c r="A64" s="15" t="str">
        <f>IF(Allgemein!F51=0,"",Allgemein!F51)</f>
        <v/>
      </c>
      <c r="B64" s="28"/>
      <c r="C64" s="163"/>
      <c r="D64" s="164"/>
      <c r="E64" s="165"/>
      <c r="F64" s="28"/>
      <c r="G64" s="163"/>
      <c r="H64" s="164"/>
      <c r="I64" s="164"/>
      <c r="J64" s="165"/>
      <c r="K64" s="77"/>
      <c r="L64" s="77"/>
      <c r="M64" s="77"/>
      <c r="N64" s="77"/>
      <c r="O64" s="77"/>
      <c r="P64" s="77"/>
      <c r="Q64" s="77"/>
      <c r="R64" s="77"/>
    </row>
    <row r="65" spans="1:18" s="12" customFormat="1" hidden="1" x14ac:dyDescent="0.2">
      <c r="A65" s="15" t="str">
        <f>IF(Allgemein!F52=0,"",Allgemein!F52)</f>
        <v/>
      </c>
      <c r="B65" s="28"/>
      <c r="C65" s="163"/>
      <c r="D65" s="164"/>
      <c r="E65" s="165"/>
      <c r="F65" s="28"/>
      <c r="G65" s="163"/>
      <c r="H65" s="164"/>
      <c r="I65" s="164"/>
      <c r="J65" s="165"/>
      <c r="K65" s="77"/>
      <c r="L65" s="77"/>
      <c r="M65" s="77"/>
      <c r="N65" s="77"/>
      <c r="O65" s="77"/>
      <c r="P65" s="77"/>
      <c r="Q65" s="77"/>
      <c r="R65" s="77"/>
    </row>
    <row r="66" spans="1:18" s="12" customFormat="1" hidden="1" x14ac:dyDescent="0.2">
      <c r="A66" s="15" t="str">
        <f>IF(Allgemein!F53=0,"",Allgemein!F53)</f>
        <v/>
      </c>
      <c r="B66" s="28"/>
      <c r="C66" s="163"/>
      <c r="D66" s="164"/>
      <c r="E66" s="165"/>
      <c r="F66" s="28"/>
      <c r="G66" s="163"/>
      <c r="H66" s="164"/>
      <c r="I66" s="164"/>
      <c r="J66" s="165"/>
      <c r="K66" s="77"/>
      <c r="L66" s="77"/>
      <c r="M66" s="77"/>
      <c r="N66" s="77"/>
      <c r="O66" s="77"/>
      <c r="P66" s="77"/>
      <c r="Q66" s="77"/>
      <c r="R66" s="77"/>
    </row>
    <row r="67" spans="1:18" s="12" customFormat="1" hidden="1" x14ac:dyDescent="0.2">
      <c r="A67" s="15" t="str">
        <f>IF(Allgemein!F54=0,"",Allgemein!F54)</f>
        <v/>
      </c>
      <c r="B67" s="28"/>
      <c r="C67" s="163"/>
      <c r="D67" s="164"/>
      <c r="E67" s="165"/>
      <c r="F67" s="28"/>
      <c r="G67" s="163"/>
      <c r="H67" s="164"/>
      <c r="I67" s="164"/>
      <c r="J67" s="165"/>
      <c r="K67" s="77"/>
      <c r="L67" s="77"/>
      <c r="M67" s="77"/>
      <c r="N67" s="77"/>
      <c r="O67" s="77"/>
      <c r="P67" s="77"/>
      <c r="Q67" s="77"/>
      <c r="R67" s="77"/>
    </row>
    <row r="68" spans="1:18" s="12" customFormat="1" hidden="1" x14ac:dyDescent="0.2">
      <c r="A68" s="15" t="str">
        <f>IF(Allgemein!F55=0,"",Allgemein!F55)</f>
        <v/>
      </c>
      <c r="B68" s="28"/>
      <c r="C68" s="163"/>
      <c r="D68" s="164"/>
      <c r="E68" s="165"/>
      <c r="F68" s="28"/>
      <c r="G68" s="163"/>
      <c r="H68" s="164"/>
      <c r="I68" s="164"/>
      <c r="J68" s="165"/>
      <c r="K68" s="77"/>
      <c r="L68" s="77"/>
      <c r="M68" s="77"/>
      <c r="N68" s="77"/>
      <c r="O68" s="77"/>
      <c r="P68" s="77"/>
      <c r="Q68" s="77"/>
      <c r="R68" s="77"/>
    </row>
    <row r="69" spans="1:18" s="12" customFormat="1" hidden="1" x14ac:dyDescent="0.2">
      <c r="A69" s="15" t="str">
        <f>IF(Allgemein!F56=0,"",Allgemein!F56)</f>
        <v/>
      </c>
      <c r="B69" s="28"/>
      <c r="C69" s="163"/>
      <c r="D69" s="164"/>
      <c r="E69" s="165"/>
      <c r="F69" s="28"/>
      <c r="G69" s="163"/>
      <c r="H69" s="164"/>
      <c r="I69" s="164"/>
      <c r="J69" s="165"/>
      <c r="K69" s="77"/>
      <c r="L69" s="77"/>
      <c r="M69" s="77"/>
      <c r="N69" s="77"/>
      <c r="O69" s="77"/>
      <c r="P69" s="77"/>
      <c r="Q69" s="77"/>
      <c r="R69" s="77"/>
    </row>
    <row r="70" spans="1:18" s="12" customFormat="1" hidden="1" x14ac:dyDescent="0.2">
      <c r="A70" s="15" t="str">
        <f>IF(Allgemein!F57=0,"",Allgemein!F57)</f>
        <v/>
      </c>
      <c r="B70" s="28"/>
      <c r="C70" s="163"/>
      <c r="D70" s="164"/>
      <c r="E70" s="165"/>
      <c r="F70" s="28"/>
      <c r="G70" s="163"/>
      <c r="H70" s="164"/>
      <c r="I70" s="164"/>
      <c r="J70" s="165"/>
      <c r="K70" s="77"/>
      <c r="L70" s="77"/>
      <c r="M70" s="77"/>
      <c r="N70" s="77"/>
      <c r="O70" s="77"/>
      <c r="P70" s="77"/>
      <c r="Q70" s="77"/>
      <c r="R70" s="77"/>
    </row>
    <row r="71" spans="1:18" s="12" customFormat="1" hidden="1" x14ac:dyDescent="0.2">
      <c r="A71" s="15" t="str">
        <f>IF(Allgemein!F58=0,"",Allgemein!F58)</f>
        <v/>
      </c>
      <c r="B71" s="28"/>
      <c r="C71" s="163"/>
      <c r="D71" s="164"/>
      <c r="E71" s="165"/>
      <c r="F71" s="28"/>
      <c r="G71" s="163"/>
      <c r="H71" s="164"/>
      <c r="I71" s="164"/>
      <c r="J71" s="165"/>
      <c r="K71" s="77"/>
      <c r="L71" s="77"/>
      <c r="M71" s="77"/>
      <c r="N71" s="77"/>
      <c r="O71" s="77"/>
      <c r="P71" s="77"/>
      <c r="Q71" s="77"/>
      <c r="R71" s="77"/>
    </row>
    <row r="72" spans="1:18" s="12" customFormat="1" hidden="1" x14ac:dyDescent="0.2">
      <c r="A72" s="15" t="str">
        <f>IF(Allgemein!F59=0,"",Allgemein!F59)</f>
        <v/>
      </c>
      <c r="B72" s="28"/>
      <c r="C72" s="163"/>
      <c r="D72" s="164"/>
      <c r="E72" s="165"/>
      <c r="F72" s="28"/>
      <c r="G72" s="163"/>
      <c r="H72" s="164"/>
      <c r="I72" s="164"/>
      <c r="J72" s="165"/>
      <c r="K72" s="77"/>
      <c r="L72" s="77"/>
      <c r="M72" s="77"/>
      <c r="N72" s="77"/>
      <c r="O72" s="77"/>
      <c r="P72" s="77"/>
      <c r="Q72" s="77"/>
      <c r="R72" s="77"/>
    </row>
    <row r="73" spans="1:18" s="12" customFormat="1" hidden="1" x14ac:dyDescent="0.2">
      <c r="A73" s="15" t="str">
        <f>IF(Allgemein!F60=0,"",Allgemein!F60)</f>
        <v/>
      </c>
      <c r="B73" s="28"/>
      <c r="C73" s="163"/>
      <c r="D73" s="164"/>
      <c r="E73" s="165"/>
      <c r="F73" s="28"/>
      <c r="G73" s="163"/>
      <c r="H73" s="164"/>
      <c r="I73" s="164"/>
      <c r="J73" s="165"/>
      <c r="K73" s="77"/>
      <c r="L73" s="77"/>
      <c r="M73" s="77"/>
      <c r="N73" s="77"/>
      <c r="O73" s="77"/>
      <c r="P73" s="77"/>
      <c r="Q73" s="77"/>
      <c r="R73" s="77"/>
    </row>
    <row r="74" spans="1:18" s="12" customFormat="1" hidden="1" x14ac:dyDescent="0.2">
      <c r="A74" s="15" t="str">
        <f>IF(Allgemein!F61=0,"",Allgemein!F61)</f>
        <v/>
      </c>
      <c r="B74" s="28"/>
      <c r="C74" s="163"/>
      <c r="D74" s="164"/>
      <c r="E74" s="165"/>
      <c r="F74" s="28"/>
      <c r="G74" s="163"/>
      <c r="H74" s="164"/>
      <c r="I74" s="164"/>
      <c r="J74" s="165"/>
      <c r="K74" s="77"/>
      <c r="L74" s="77"/>
      <c r="M74" s="77"/>
      <c r="N74" s="77"/>
      <c r="O74" s="77"/>
      <c r="P74" s="77"/>
      <c r="Q74" s="77"/>
      <c r="R74" s="77"/>
    </row>
    <row r="75" spans="1:18" s="12" customFormat="1" hidden="1" x14ac:dyDescent="0.2">
      <c r="A75" s="15" t="str">
        <f>IF(Allgemein!F62=0,"",Allgemein!F62)</f>
        <v/>
      </c>
      <c r="B75" s="28"/>
      <c r="C75" s="163"/>
      <c r="D75" s="164"/>
      <c r="E75" s="165"/>
      <c r="F75" s="28"/>
      <c r="G75" s="163"/>
      <c r="H75" s="164"/>
      <c r="I75" s="164"/>
      <c r="J75" s="165"/>
      <c r="K75" s="77"/>
      <c r="L75" s="77"/>
      <c r="M75" s="77"/>
      <c r="N75" s="77"/>
      <c r="O75" s="77"/>
      <c r="P75" s="77"/>
      <c r="Q75" s="77"/>
      <c r="R75" s="77"/>
    </row>
    <row r="76" spans="1:18" s="12" customFormat="1" hidden="1" x14ac:dyDescent="0.2"/>
    <row r="77" spans="1:18" s="12" customFormat="1" ht="24" hidden="1" customHeight="1" x14ac:dyDescent="0.2">
      <c r="A77" s="74" t="s">
        <v>58</v>
      </c>
      <c r="B77" s="82" t="s">
        <v>63</v>
      </c>
      <c r="C77" s="74" t="s">
        <v>69</v>
      </c>
      <c r="E77" s="153" t="s">
        <v>79</v>
      </c>
      <c r="F77" s="155"/>
      <c r="G77" s="74" t="s">
        <v>63</v>
      </c>
      <c r="H77" s="74" t="s">
        <v>69</v>
      </c>
    </row>
    <row r="78" spans="1:18" s="12" customFormat="1" hidden="1" x14ac:dyDescent="0.2">
      <c r="A78" s="22" t="str">
        <f>IF(Allgemein!P43=0,"",Allgemein!P43)</f>
        <v/>
      </c>
      <c r="B78" s="27"/>
      <c r="C78" s="28"/>
      <c r="E78" s="163" t="str">
        <f>IF(Allgemein!N43=0,"",Allgemein!N43)</f>
        <v>Mobiler Arbeitsplatz</v>
      </c>
      <c r="F78" s="165"/>
      <c r="G78" s="28"/>
      <c r="H78" s="28"/>
    </row>
    <row r="79" spans="1:18" s="12" customFormat="1" hidden="1" x14ac:dyDescent="0.2">
      <c r="A79" s="22" t="str">
        <f>IF(Allgemein!P44=0,"",Allgemein!P44)</f>
        <v/>
      </c>
      <c r="B79" s="27"/>
      <c r="C79" s="28"/>
      <c r="E79" s="163" t="str">
        <f>IF(Allgemein!N44=0,"",Allgemein!N44)</f>
        <v>Scanner (Dokument)</v>
      </c>
      <c r="F79" s="165"/>
      <c r="G79" s="28"/>
      <c r="H79" s="28"/>
    </row>
    <row r="80" spans="1:18" s="12" customFormat="1" ht="12" hidden="1" customHeight="1" x14ac:dyDescent="0.2">
      <c r="A80" s="22" t="str">
        <f>IF(Allgemein!P45=0,"",Allgemein!P45)</f>
        <v/>
      </c>
      <c r="B80" s="27"/>
      <c r="C80" s="28"/>
      <c r="E80" s="163" t="str">
        <f>IF(Allgemein!N45=0,"",Allgemein!N45)</f>
        <v>Drucker (normal)</v>
      </c>
      <c r="F80" s="165"/>
      <c r="G80" s="28"/>
      <c r="H80" s="28"/>
    </row>
    <row r="81" spans="1:8" s="12" customFormat="1" ht="12" hidden="1" customHeight="1" x14ac:dyDescent="0.2">
      <c r="A81" s="22" t="str">
        <f>IF(Allgemein!P46=0,"",Allgemein!P46)</f>
        <v/>
      </c>
      <c r="B81" s="27"/>
      <c r="C81" s="28"/>
      <c r="E81" s="163" t="str">
        <f>IF(Allgemein!N46=0,"",Allgemein!N46)</f>
        <v>Laptop</v>
      </c>
      <c r="F81" s="165"/>
      <c r="G81" s="28"/>
      <c r="H81" s="28"/>
    </row>
    <row r="82" spans="1:8" s="12" customFormat="1" ht="12" hidden="1" customHeight="1" x14ac:dyDescent="0.2">
      <c r="A82" s="22" t="str">
        <f>IF(Allgemein!P47=0,"",Allgemein!P47)</f>
        <v/>
      </c>
      <c r="B82" s="27"/>
      <c r="C82" s="28"/>
      <c r="E82" s="163" t="str">
        <f>IF(Allgemein!N47=0,"",Allgemein!N47)</f>
        <v>Router/Switch</v>
      </c>
      <c r="F82" s="165"/>
      <c r="G82" s="28"/>
      <c r="H82" s="28"/>
    </row>
    <row r="83" spans="1:8" s="12" customFormat="1" ht="12" hidden="1" customHeight="1" x14ac:dyDescent="0.2">
      <c r="A83" s="22" t="str">
        <f>IF(Allgemein!P48=0,"",Allgemein!P48)</f>
        <v/>
      </c>
      <c r="B83" s="27"/>
      <c r="C83" s="28"/>
      <c r="E83" s="163" t="str">
        <f>IF(Allgemein!N48=0,"",Allgemein!N48)</f>
        <v/>
      </c>
      <c r="F83" s="165"/>
      <c r="G83" s="28"/>
      <c r="H83" s="28"/>
    </row>
    <row r="84" spans="1:8" s="12" customFormat="1" hidden="1" x14ac:dyDescent="0.2">
      <c r="A84" s="22" t="str">
        <f>IF(Allgemein!P49=0,"",Allgemein!P49)</f>
        <v/>
      </c>
      <c r="B84" s="27"/>
      <c r="C84" s="28"/>
      <c r="E84" s="163" t="str">
        <f>IF(Allgemein!N49=0,"",Allgemein!N49)</f>
        <v/>
      </c>
      <c r="F84" s="165"/>
      <c r="G84" s="28"/>
      <c r="H84" s="28"/>
    </row>
    <row r="85" spans="1:8" s="12" customFormat="1" hidden="1" x14ac:dyDescent="0.2">
      <c r="A85" s="22" t="str">
        <f>IF(Allgemein!P50=0,"",Allgemein!P50)</f>
        <v/>
      </c>
      <c r="B85" s="27"/>
      <c r="C85" s="28"/>
      <c r="E85" s="163" t="str">
        <f>IF(Allgemein!N50=0,"",Allgemein!N50)</f>
        <v/>
      </c>
      <c r="F85" s="165"/>
      <c r="G85" s="28"/>
      <c r="H85" s="28"/>
    </row>
    <row r="86" spans="1:8" s="12" customFormat="1" hidden="1" x14ac:dyDescent="0.2">
      <c r="A86" s="22" t="str">
        <f>IF(Allgemein!P51=0,"",Allgemein!P51)</f>
        <v/>
      </c>
      <c r="B86" s="27"/>
      <c r="C86" s="28"/>
      <c r="E86" s="163" t="str">
        <f>IF(Allgemein!N51=0,"",Allgemein!N51)</f>
        <v/>
      </c>
      <c r="F86" s="165"/>
      <c r="G86" s="28"/>
      <c r="H86" s="28"/>
    </row>
    <row r="87" spans="1:8" s="12" customFormat="1" hidden="1" x14ac:dyDescent="0.2">
      <c r="A87" s="22" t="str">
        <f>IF(Allgemein!P52=0,"",Allgemein!P52)</f>
        <v/>
      </c>
      <c r="B87" s="27"/>
      <c r="C87" s="28"/>
      <c r="E87" s="163" t="str">
        <f>IF(Allgemein!N52=0,"",Allgemein!N52)</f>
        <v/>
      </c>
      <c r="F87" s="165"/>
      <c r="G87" s="28"/>
      <c r="H87" s="28"/>
    </row>
    <row r="88" spans="1:8" s="12" customFormat="1" hidden="1" x14ac:dyDescent="0.2">
      <c r="A88" s="22" t="str">
        <f>IF(Allgemein!P53=0,"",Allgemein!P53)</f>
        <v/>
      </c>
      <c r="B88" s="27"/>
      <c r="C88" s="28"/>
      <c r="E88" s="163" t="str">
        <f>IF(Allgemein!N53=0,"",Allgemein!N53)</f>
        <v/>
      </c>
      <c r="F88" s="165"/>
      <c r="G88" s="28"/>
      <c r="H88" s="28"/>
    </row>
    <row r="89" spans="1:8" s="12" customFormat="1" hidden="1" x14ac:dyDescent="0.2">
      <c r="A89" s="22" t="str">
        <f>IF(Allgemein!P54=0,"",Allgemein!P54)</f>
        <v/>
      </c>
      <c r="B89" s="27"/>
      <c r="C89" s="28"/>
      <c r="E89" s="163" t="str">
        <f>IF(Allgemein!N54=0,"",Allgemein!N54)</f>
        <v/>
      </c>
      <c r="F89" s="165"/>
      <c r="G89" s="28"/>
      <c r="H89" s="28"/>
    </row>
    <row r="90" spans="1:8" s="12" customFormat="1" hidden="1" x14ac:dyDescent="0.2">
      <c r="A90" s="22" t="str">
        <f>IF(Allgemein!P55=0,"",Allgemein!P55)</f>
        <v/>
      </c>
      <c r="B90" s="27"/>
      <c r="C90" s="28"/>
      <c r="E90" s="163" t="str">
        <f>IF(Allgemein!N55=0,"",Allgemein!N55)</f>
        <v/>
      </c>
      <c r="F90" s="165"/>
      <c r="G90" s="28"/>
      <c r="H90" s="28"/>
    </row>
    <row r="91" spans="1:8" s="12" customFormat="1" hidden="1" x14ac:dyDescent="0.2">
      <c r="A91" s="22" t="str">
        <f>IF(Allgemein!P56=0,"",Allgemein!P56)</f>
        <v/>
      </c>
      <c r="B91" s="27"/>
      <c r="C91" s="28"/>
      <c r="E91" s="163" t="str">
        <f>IF(Allgemein!N56=0,"",Allgemein!N56)</f>
        <v/>
      </c>
      <c r="F91" s="165"/>
      <c r="G91" s="28"/>
      <c r="H91" s="28"/>
    </row>
    <row r="92" spans="1:8" s="12" customFormat="1" hidden="1" x14ac:dyDescent="0.2">
      <c r="A92" s="22" t="str">
        <f>IF(Allgemein!P57=0,"",Allgemein!P57)</f>
        <v/>
      </c>
      <c r="B92" s="27"/>
      <c r="C92" s="28"/>
      <c r="E92" s="163" t="str">
        <f>IF(Allgemein!N57=0,"",Allgemein!N57)</f>
        <v/>
      </c>
      <c r="F92" s="165"/>
      <c r="G92" s="28"/>
      <c r="H92" s="28"/>
    </row>
    <row r="93" spans="1:8" s="12" customFormat="1" hidden="1" x14ac:dyDescent="0.2">
      <c r="A93" s="22" t="str">
        <f>IF(Allgemein!P58=0,"",Allgemein!P58)</f>
        <v/>
      </c>
      <c r="B93" s="27"/>
      <c r="C93" s="28"/>
      <c r="E93" s="163" t="str">
        <f>IF(Allgemein!N58=0,"",Allgemein!N58)</f>
        <v/>
      </c>
      <c r="F93" s="165"/>
      <c r="G93" s="28"/>
      <c r="H93" s="28"/>
    </row>
    <row r="94" spans="1:8" s="12" customFormat="1" hidden="1" x14ac:dyDescent="0.2">
      <c r="A94" s="22" t="str">
        <f>IF(Allgemein!P59=0,"",Allgemein!P59)</f>
        <v/>
      </c>
      <c r="B94" s="27"/>
      <c r="C94" s="28"/>
      <c r="E94" s="163" t="str">
        <f>IF(Allgemein!N59=0,"",Allgemein!N59)</f>
        <v/>
      </c>
      <c r="F94" s="165"/>
      <c r="G94" s="28"/>
      <c r="H94" s="28"/>
    </row>
    <row r="95" spans="1:8" s="12" customFormat="1" hidden="1" x14ac:dyDescent="0.2">
      <c r="A95" s="22" t="str">
        <f>IF(Allgemein!P60=0,"",Allgemein!P60)</f>
        <v/>
      </c>
      <c r="B95" s="27"/>
      <c r="C95" s="28"/>
      <c r="E95" s="163" t="str">
        <f>IF(Allgemein!N60=0,"",Allgemein!N60)</f>
        <v/>
      </c>
      <c r="F95" s="165"/>
      <c r="G95" s="28"/>
      <c r="H95" s="28"/>
    </row>
    <row r="96" spans="1:8" s="12" customFormat="1" hidden="1" x14ac:dyDescent="0.2">
      <c r="A96" s="22" t="str">
        <f>IF(Allgemein!P61=0,"",Allgemein!P61)</f>
        <v/>
      </c>
      <c r="B96" s="27"/>
      <c r="C96" s="28"/>
      <c r="E96" s="163" t="str">
        <f>IF(Allgemein!N61=0,"",Allgemein!N61)</f>
        <v/>
      </c>
      <c r="F96" s="165"/>
      <c r="G96" s="28"/>
      <c r="H96" s="28"/>
    </row>
    <row r="97" spans="1:43" s="12" customFormat="1" hidden="1" x14ac:dyDescent="0.2">
      <c r="A97" s="22" t="str">
        <f>IF(Allgemein!P62=0,"",Allgemein!P62)</f>
        <v/>
      </c>
      <c r="B97" s="27"/>
      <c r="C97" s="28"/>
      <c r="E97" s="163" t="str">
        <f>IF(Allgemein!N62=0,"",Allgemein!N62)</f>
        <v/>
      </c>
      <c r="F97" s="165"/>
      <c r="G97" s="28"/>
      <c r="H97" s="28"/>
    </row>
    <row r="98" spans="1:43" s="12" customFormat="1" hidden="1" x14ac:dyDescent="0.2">
      <c r="A98" s="22" t="str">
        <f>IF(Allgemein!P63=0,"",Allgemein!P63)</f>
        <v/>
      </c>
      <c r="B98" s="27"/>
      <c r="C98" s="28"/>
      <c r="E98" s="163" t="str">
        <f>IF(Allgemein!N63=0,"",Allgemein!N63)</f>
        <v/>
      </c>
      <c r="F98" s="165"/>
      <c r="G98" s="28"/>
      <c r="H98" s="28"/>
    </row>
    <row r="99" spans="1:43" s="12" customFormat="1" hidden="1" x14ac:dyDescent="0.2">
      <c r="A99" s="22" t="str">
        <f>IF(Allgemein!P64=0,"",Allgemein!P64)</f>
        <v/>
      </c>
      <c r="B99" s="27"/>
      <c r="C99" s="28"/>
      <c r="E99" s="163" t="str">
        <f>IF(Allgemein!N64=0,"",Allgemein!N64)</f>
        <v/>
      </c>
      <c r="F99" s="165"/>
      <c r="G99" s="28"/>
      <c r="H99" s="28"/>
    </row>
    <row r="100" spans="1:43" s="12" customFormat="1" hidden="1" x14ac:dyDescent="0.2">
      <c r="A100" s="22" t="str">
        <f>IF(Allgemein!P65=0,"",Allgemein!P65)</f>
        <v/>
      </c>
      <c r="B100" s="27"/>
      <c r="C100" s="28"/>
      <c r="E100" s="163" t="str">
        <f>IF(Allgemein!N65=0,"",Allgemein!N65)</f>
        <v/>
      </c>
      <c r="F100" s="165"/>
      <c r="G100" s="28"/>
      <c r="H100" s="28"/>
    </row>
    <row r="101" spans="1:43" s="12" customFormat="1" hidden="1" x14ac:dyDescent="0.2">
      <c r="A101" s="22" t="str">
        <f>IF(Allgemein!P66=0,"",Allgemein!P66)</f>
        <v/>
      </c>
      <c r="B101" s="27"/>
      <c r="C101" s="28"/>
      <c r="E101" s="163" t="str">
        <f>IF(Allgemein!N66=0,"",Allgemein!N66)</f>
        <v/>
      </c>
      <c r="F101" s="165"/>
      <c r="G101" s="28"/>
      <c r="H101" s="28"/>
    </row>
    <row r="102" spans="1:43" s="12" customFormat="1" hidden="1" x14ac:dyDescent="0.2">
      <c r="A102" s="22" t="str">
        <f>IF(Allgemein!P67=0,"",Allgemein!P67)</f>
        <v/>
      </c>
      <c r="B102" s="27"/>
      <c r="C102" s="28"/>
      <c r="E102" s="163" t="str">
        <f>IF(Allgemein!N67=0,"",Allgemein!N67)</f>
        <v/>
      </c>
      <c r="F102" s="165"/>
      <c r="G102" s="28"/>
      <c r="H102" s="28"/>
    </row>
    <row r="103" spans="1:43" s="12" customFormat="1" hidden="1" x14ac:dyDescent="0.2">
      <c r="A103" s="22" t="str">
        <f>IF(Allgemein!P68=0,"",Allgemein!P68)</f>
        <v/>
      </c>
      <c r="B103" s="27"/>
      <c r="C103" s="28"/>
      <c r="E103" s="163" t="str">
        <f>IF(Allgemein!N68=0,"",Allgemein!N68)</f>
        <v/>
      </c>
      <c r="F103" s="165"/>
      <c r="G103" s="28"/>
      <c r="H103" s="28"/>
    </row>
    <row r="104" spans="1:43" s="12" customFormat="1" hidden="1" x14ac:dyDescent="0.2">
      <c r="A104" s="13"/>
      <c r="B104" s="13"/>
      <c r="C104" s="13"/>
    </row>
    <row r="105" spans="1:43" s="12" customFormat="1" ht="107.1" customHeight="1" x14ac:dyDescent="0.2">
      <c r="A105" s="153" t="s">
        <v>80</v>
      </c>
      <c r="B105" s="155"/>
      <c r="C105" s="74"/>
      <c r="D105" s="34" t="str">
        <f>Allgemein!C43</f>
        <v>Arbeitsergebnisse</v>
      </c>
      <c r="E105" s="34" t="s">
        <v>364</v>
      </c>
      <c r="F105" s="34" t="str">
        <f>Allgemein!C44</f>
        <v>Projektdokumentation</v>
      </c>
      <c r="G105" s="34" t="str">
        <f>Allgemein!C45</f>
        <v>IT-System- und Dokumentenmanagement</v>
      </c>
      <c r="H105" s="34" t="str">
        <f>Allgemein!C46</f>
        <v>Altprojektdatenbank</v>
      </c>
      <c r="I105" s="34" t="str">
        <f>Allgemein!C47</f>
        <v>Projektfeinplanung (Arbeitspakete - Git Tickets)</v>
      </c>
      <c r="J105" s="34" t="str">
        <f>Allgemein!C48</f>
        <v>Projektgrobplanung</v>
      </c>
      <c r="K105" s="34" t="str">
        <f>Allgemein!C49</f>
        <v>Rechnungsmanagement</v>
      </c>
      <c r="L105" s="34" t="str">
        <f>Allgemein!C50</f>
        <v>Projektbasierte Risikoanalyse</v>
      </c>
      <c r="M105" s="34" t="str">
        <f>Allgemein!C51</f>
        <v>Wiki Wissensdatenbank</v>
      </c>
      <c r="N105" s="34" t="str">
        <f>Allgemein!C52</f>
        <v>Source Code</v>
      </c>
      <c r="O105" s="34" t="str">
        <f>Allgemein!C53</f>
        <v>Missionsdaten</v>
      </c>
      <c r="P105" s="34" t="str">
        <f>Allgemein!C54</f>
        <v>Schlüsselmaterial Mission</v>
      </c>
      <c r="Q105" s="34">
        <f>Allgemein!C56</f>
        <v>0</v>
      </c>
      <c r="R105" s="34">
        <f>Allgemein!C57</f>
        <v>0</v>
      </c>
      <c r="S105" s="34">
        <f>Allgemein!C58</f>
        <v>0</v>
      </c>
      <c r="T105" s="34">
        <f>Allgemein!C59</f>
        <v>0</v>
      </c>
      <c r="U105" s="34">
        <f>Allgemein!C60</f>
        <v>0</v>
      </c>
      <c r="V105" s="34">
        <f>Allgemein!C61</f>
        <v>0</v>
      </c>
      <c r="W105" s="34">
        <f>Allgemein!C62</f>
        <v>0</v>
      </c>
      <c r="X105" s="34">
        <f>Allgemein!C63</f>
        <v>0</v>
      </c>
      <c r="Y105" s="34">
        <f>Allgemein!C64</f>
        <v>0</v>
      </c>
      <c r="Z105" s="34">
        <f>Allgemein!C65</f>
        <v>0</v>
      </c>
      <c r="AA105" s="34">
        <f>Allgemein!C66</f>
        <v>0</v>
      </c>
      <c r="AB105" s="34">
        <f>Allgemein!C67</f>
        <v>0</v>
      </c>
      <c r="AC105" s="34">
        <f>Allgemein!C68</f>
        <v>0</v>
      </c>
      <c r="AD105" s="34">
        <f>Allgemein!C69</f>
        <v>0</v>
      </c>
      <c r="AE105" s="34">
        <f>Allgemein!C70</f>
        <v>0</v>
      </c>
      <c r="AF105" s="34">
        <f>Allgemein!C71</f>
        <v>0</v>
      </c>
      <c r="AG105" s="34">
        <f>Allgemein!C72</f>
        <v>0</v>
      </c>
      <c r="AH105" s="34">
        <f>Allgemein!C73</f>
        <v>0</v>
      </c>
      <c r="AI105" s="34">
        <f>Allgemein!C74</f>
        <v>0</v>
      </c>
      <c r="AJ105" s="34">
        <f>Allgemein!C75</f>
        <v>0</v>
      </c>
      <c r="AK105" s="34">
        <f>Allgemein!C76</f>
        <v>0</v>
      </c>
      <c r="AL105" s="34">
        <f>Allgemein!C77</f>
        <v>0</v>
      </c>
      <c r="AM105" s="34">
        <f>Allgemein!C78</f>
        <v>0</v>
      </c>
      <c r="AN105" s="34">
        <f>Allgemein!C79</f>
        <v>0</v>
      </c>
      <c r="AO105" s="34">
        <f>Allgemein!C80</f>
        <v>0</v>
      </c>
      <c r="AP105" s="34">
        <f>Allgemein!C81</f>
        <v>0</v>
      </c>
      <c r="AQ105" s="34">
        <f>Allgemein!C82</f>
        <v>0</v>
      </c>
    </row>
    <row r="106" spans="1:43" s="12" customFormat="1" x14ac:dyDescent="0.2">
      <c r="A106" s="173" t="s">
        <v>277</v>
      </c>
      <c r="B106" s="173"/>
      <c r="C106" s="84"/>
      <c r="D106" s="115" t="s">
        <v>357</v>
      </c>
      <c r="E106" s="35"/>
      <c r="F106" s="35"/>
      <c r="G106" s="104"/>
      <c r="H106" s="35"/>
      <c r="I106" s="35"/>
      <c r="J106" s="35"/>
      <c r="K106" s="104"/>
      <c r="L106" s="104"/>
      <c r="M106" s="116"/>
      <c r="N106" s="104"/>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row>
    <row r="107" spans="1:43" s="12" customFormat="1" x14ac:dyDescent="0.2">
      <c r="A107" s="12" t="s">
        <v>352</v>
      </c>
      <c r="C107" s="84"/>
      <c r="D107" s="115" t="s">
        <v>357</v>
      </c>
      <c r="E107" s="35"/>
      <c r="F107" s="35"/>
      <c r="G107" s="104"/>
      <c r="H107" s="35"/>
      <c r="I107" s="35"/>
      <c r="J107" s="35"/>
      <c r="K107" s="104"/>
      <c r="L107" s="104"/>
      <c r="M107" s="35"/>
      <c r="N107" s="104"/>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row>
    <row r="108" spans="1:43" s="12" customFormat="1" x14ac:dyDescent="0.2">
      <c r="A108" s="114" t="s">
        <v>278</v>
      </c>
      <c r="B108" s="114"/>
      <c r="C108" s="85"/>
      <c r="D108" s="115" t="s">
        <v>357</v>
      </c>
      <c r="E108" s="35"/>
      <c r="F108" s="35"/>
      <c r="G108" s="104"/>
      <c r="H108" s="116"/>
      <c r="I108" s="115" t="s">
        <v>357</v>
      </c>
      <c r="J108" s="115" t="s">
        <v>357</v>
      </c>
      <c r="K108" s="104"/>
      <c r="L108" s="104"/>
      <c r="M108" s="116"/>
      <c r="N108" s="104"/>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row>
    <row r="109" spans="1:43" s="12" customFormat="1" x14ac:dyDescent="0.2">
      <c r="A109" s="114" t="s">
        <v>279</v>
      </c>
      <c r="B109" s="114"/>
      <c r="C109" s="84"/>
      <c r="D109" s="115" t="s">
        <v>357</v>
      </c>
      <c r="E109" s="35"/>
      <c r="F109" s="35"/>
      <c r="G109" s="104"/>
      <c r="H109" s="116"/>
      <c r="I109" s="115" t="s">
        <v>357</v>
      </c>
      <c r="J109" s="115" t="s">
        <v>357</v>
      </c>
      <c r="K109" s="104"/>
      <c r="L109" s="104"/>
      <c r="M109" s="116"/>
      <c r="N109" s="104"/>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row>
    <row r="110" spans="1:43" s="12" customFormat="1" ht="24" x14ac:dyDescent="0.2">
      <c r="A110" s="114" t="s">
        <v>280</v>
      </c>
      <c r="B110" s="114"/>
      <c r="C110" s="84"/>
      <c r="D110" s="115" t="s">
        <v>357</v>
      </c>
      <c r="E110" s="35"/>
      <c r="F110" s="115" t="s">
        <v>357</v>
      </c>
      <c r="G110" s="104"/>
      <c r="H110" s="115" t="s">
        <v>357</v>
      </c>
      <c r="I110" s="115" t="s">
        <v>357</v>
      </c>
      <c r="J110" s="115" t="s">
        <v>357</v>
      </c>
      <c r="K110" s="104"/>
      <c r="L110" s="104"/>
      <c r="M110" s="115" t="s">
        <v>357</v>
      </c>
      <c r="N110" s="104"/>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row>
    <row r="111" spans="1:43" s="12" customFormat="1" x14ac:dyDescent="0.2">
      <c r="A111" s="114" t="s">
        <v>281</v>
      </c>
      <c r="B111" s="114"/>
      <c r="C111" s="84"/>
      <c r="D111" s="115" t="s">
        <v>357</v>
      </c>
      <c r="E111" s="35"/>
      <c r="F111" s="115" t="s">
        <v>357</v>
      </c>
      <c r="G111" s="104"/>
      <c r="H111" s="115" t="s">
        <v>357</v>
      </c>
      <c r="I111" s="115" t="s">
        <v>357</v>
      </c>
      <c r="J111" s="35"/>
      <c r="K111" s="104"/>
      <c r="L111" s="104"/>
      <c r="M111" s="115" t="s">
        <v>357</v>
      </c>
      <c r="N111" s="104"/>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row>
    <row r="112" spans="1:43" s="12" customFormat="1" x14ac:dyDescent="0.2">
      <c r="A112" s="114" t="s">
        <v>282</v>
      </c>
      <c r="B112" s="114"/>
      <c r="C112" s="84"/>
      <c r="D112" s="115" t="s">
        <v>357</v>
      </c>
      <c r="E112" s="35"/>
      <c r="F112" s="116"/>
      <c r="G112" s="104"/>
      <c r="H112" s="35"/>
      <c r="I112" s="35"/>
      <c r="J112" s="35"/>
      <c r="K112" s="104"/>
      <c r="L112" s="104"/>
      <c r="M112" s="35"/>
      <c r="N112" s="104"/>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row>
    <row r="113" spans="1:43" s="12" customFormat="1" x14ac:dyDescent="0.2">
      <c r="A113" s="84" t="s">
        <v>284</v>
      </c>
      <c r="B113" s="84"/>
      <c r="C113" s="84"/>
      <c r="D113" s="115" t="s">
        <v>357</v>
      </c>
      <c r="E113" s="35"/>
      <c r="F113" s="35"/>
      <c r="G113" s="104"/>
      <c r="H113" s="35"/>
      <c r="I113" s="35"/>
      <c r="J113" s="35"/>
      <c r="K113" s="104"/>
      <c r="L113" s="104"/>
      <c r="M113" s="35"/>
      <c r="N113" s="104"/>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row>
    <row r="114" spans="1:43" s="12" customFormat="1" x14ac:dyDescent="0.2">
      <c r="A114" s="84" t="s">
        <v>285</v>
      </c>
      <c r="B114" s="84"/>
      <c r="C114" s="84"/>
      <c r="D114" s="115" t="s">
        <v>357</v>
      </c>
      <c r="E114" s="35"/>
      <c r="F114" s="35"/>
      <c r="G114" s="104"/>
      <c r="H114" s="116"/>
      <c r="I114" s="115" t="s">
        <v>357</v>
      </c>
      <c r="J114" s="35"/>
      <c r="K114" s="104"/>
      <c r="L114" s="104"/>
      <c r="M114" s="35"/>
      <c r="N114" s="104"/>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row>
    <row r="115" spans="1:43" s="12" customFormat="1" x14ac:dyDescent="0.2">
      <c r="A115" s="84" t="s">
        <v>273</v>
      </c>
      <c r="B115" s="84"/>
      <c r="C115" s="84"/>
      <c r="D115" s="35"/>
      <c r="E115" s="35"/>
      <c r="F115" s="115" t="s">
        <v>357</v>
      </c>
      <c r="G115" s="104"/>
      <c r="H115" s="115" t="s">
        <v>357</v>
      </c>
      <c r="I115" s="35"/>
      <c r="J115" s="115" t="s">
        <v>357</v>
      </c>
      <c r="K115" s="104"/>
      <c r="L115" s="104"/>
      <c r="M115" s="115" t="s">
        <v>357</v>
      </c>
      <c r="N115" s="104"/>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row>
    <row r="116" spans="1:43" s="12" customFormat="1" x14ac:dyDescent="0.2">
      <c r="A116" s="84" t="s">
        <v>274</v>
      </c>
      <c r="B116" s="84"/>
      <c r="C116" s="84"/>
      <c r="D116" s="35"/>
      <c r="E116" s="35"/>
      <c r="F116" s="115" t="s">
        <v>357</v>
      </c>
      <c r="G116" s="104"/>
      <c r="H116" s="115" t="s">
        <v>357</v>
      </c>
      <c r="I116" s="35"/>
      <c r="J116" s="115" t="s">
        <v>357</v>
      </c>
      <c r="K116" s="104"/>
      <c r="L116" s="104"/>
      <c r="M116" s="115" t="s">
        <v>357</v>
      </c>
      <c r="N116" s="104"/>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row>
    <row r="117" spans="1:43" s="12" customFormat="1" x14ac:dyDescent="0.2">
      <c r="A117" s="84" t="s">
        <v>369</v>
      </c>
      <c r="B117" s="84"/>
      <c r="C117" s="84"/>
      <c r="D117" s="115" t="s">
        <v>357</v>
      </c>
      <c r="E117" s="35"/>
      <c r="F117" s="115" t="s">
        <v>357</v>
      </c>
      <c r="G117" s="104"/>
      <c r="H117" s="35"/>
      <c r="I117" s="35"/>
      <c r="J117" s="35"/>
      <c r="K117" s="104"/>
      <c r="L117" s="104"/>
      <c r="M117" s="35"/>
      <c r="N117" s="104"/>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row>
    <row r="118" spans="1:43" s="12" customFormat="1" x14ac:dyDescent="0.2">
      <c r="A118" s="84" t="s">
        <v>371</v>
      </c>
      <c r="B118" s="84"/>
      <c r="C118" s="84"/>
      <c r="D118" s="35"/>
      <c r="E118" s="35"/>
      <c r="F118" s="115" t="s">
        <v>357</v>
      </c>
      <c r="G118" s="104"/>
      <c r="H118" s="35"/>
      <c r="I118" s="35"/>
      <c r="J118" s="115" t="s">
        <v>357</v>
      </c>
      <c r="K118" s="104"/>
      <c r="L118" s="104"/>
      <c r="M118" s="35"/>
      <c r="N118" s="104"/>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row>
    <row r="119" spans="1:43" s="12" customFormat="1" x14ac:dyDescent="0.2">
      <c r="A119" s="84"/>
      <c r="B119" s="84"/>
      <c r="C119" s="84"/>
      <c r="D119" s="35"/>
      <c r="E119" s="35"/>
      <c r="F119" s="35"/>
      <c r="G119" s="104"/>
      <c r="H119" s="35"/>
      <c r="I119" s="35"/>
      <c r="J119" s="35"/>
      <c r="K119" s="104"/>
      <c r="L119" s="104"/>
      <c r="M119" s="35"/>
      <c r="N119" s="104"/>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row>
    <row r="120" spans="1:43" s="12" customFormat="1" x14ac:dyDescent="0.2">
      <c r="A120" s="84"/>
      <c r="B120" s="84"/>
      <c r="C120" s="84"/>
      <c r="D120" s="35"/>
      <c r="E120" s="35"/>
      <c r="F120" s="35"/>
      <c r="G120" s="104"/>
      <c r="H120" s="35"/>
      <c r="I120" s="35"/>
      <c r="J120" s="35"/>
      <c r="K120" s="104"/>
      <c r="L120" s="104"/>
      <c r="M120" s="35"/>
      <c r="N120" s="104"/>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row>
    <row r="121" spans="1:43" s="12" customFormat="1" x14ac:dyDescent="0.2">
      <c r="A121" s="84"/>
      <c r="B121" s="84"/>
      <c r="C121" s="84"/>
      <c r="D121" s="35"/>
      <c r="E121" s="35"/>
      <c r="F121" s="35"/>
      <c r="G121" s="104"/>
      <c r="H121" s="35"/>
      <c r="I121" s="35"/>
      <c r="J121" s="35"/>
      <c r="K121" s="104"/>
      <c r="L121" s="104"/>
      <c r="M121" s="35"/>
      <c r="N121" s="104"/>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row>
    <row r="122" spans="1:43" s="12" customFormat="1" x14ac:dyDescent="0.2">
      <c r="A122" s="84"/>
      <c r="B122" s="84"/>
      <c r="C122" s="84"/>
      <c r="D122" s="35"/>
      <c r="E122" s="35"/>
      <c r="F122" s="35"/>
      <c r="G122" s="104"/>
      <c r="H122" s="35"/>
      <c r="I122" s="35"/>
      <c r="J122" s="35"/>
      <c r="K122" s="104"/>
      <c r="L122" s="104"/>
      <c r="M122" s="35"/>
      <c r="N122" s="104"/>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row>
    <row r="123" spans="1:43" s="12" customFormat="1" x14ac:dyDescent="0.2">
      <c r="A123" s="84"/>
      <c r="B123" s="84"/>
      <c r="C123" s="84"/>
      <c r="D123" s="35"/>
      <c r="E123" s="35"/>
      <c r="F123" s="35"/>
      <c r="G123" s="104"/>
      <c r="H123" s="35"/>
      <c r="I123" s="35"/>
      <c r="J123" s="35"/>
      <c r="K123" s="104"/>
      <c r="L123" s="104"/>
      <c r="M123" s="35"/>
      <c r="N123" s="104"/>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row>
    <row r="124" spans="1:43" s="12" customFormat="1" x14ac:dyDescent="0.2">
      <c r="A124" s="84"/>
      <c r="B124" s="84"/>
      <c r="C124" s="85"/>
      <c r="D124" s="35"/>
      <c r="E124" s="35"/>
      <c r="F124" s="35"/>
      <c r="G124" s="104"/>
      <c r="H124" s="35"/>
      <c r="I124" s="35"/>
      <c r="J124" s="35"/>
      <c r="K124" s="104"/>
      <c r="L124" s="104"/>
      <c r="M124" s="35"/>
      <c r="N124" s="104"/>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row>
    <row r="125" spans="1:43" s="12" customFormat="1" x14ac:dyDescent="0.2">
      <c r="A125" s="84"/>
      <c r="B125" s="84"/>
      <c r="C125" s="84"/>
      <c r="D125" s="35"/>
      <c r="E125" s="35"/>
      <c r="F125" s="35"/>
      <c r="G125" s="104"/>
      <c r="H125" s="35"/>
      <c r="I125" s="35"/>
      <c r="J125" s="35"/>
      <c r="K125" s="104"/>
      <c r="L125" s="104"/>
      <c r="M125" s="35"/>
      <c r="N125" s="104"/>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row>
    <row r="126" spans="1:43" s="12" customFormat="1" x14ac:dyDescent="0.2">
      <c r="A126" s="84"/>
      <c r="B126" s="84"/>
      <c r="C126" s="84"/>
      <c r="D126" s="35"/>
      <c r="E126" s="35"/>
      <c r="F126" s="35"/>
      <c r="G126" s="104"/>
      <c r="H126" s="35"/>
      <c r="I126" s="35"/>
      <c r="J126" s="35"/>
      <c r="K126" s="104"/>
      <c r="L126" s="104"/>
      <c r="M126" s="35"/>
      <c r="N126" s="104"/>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row>
    <row r="127" spans="1:43" s="12" customFormat="1" x14ac:dyDescent="0.2">
      <c r="A127" s="84"/>
      <c r="B127" s="84"/>
      <c r="C127" s="84"/>
      <c r="D127" s="35"/>
      <c r="E127" s="35"/>
      <c r="F127" s="35"/>
      <c r="G127" s="104"/>
      <c r="H127" s="35"/>
      <c r="I127" s="35"/>
      <c r="J127" s="35"/>
      <c r="K127" s="104"/>
      <c r="L127" s="104"/>
      <c r="M127" s="35"/>
      <c r="N127" s="104"/>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row>
    <row r="128" spans="1:43" s="12" customFormat="1" x14ac:dyDescent="0.2">
      <c r="A128" s="84"/>
      <c r="B128" s="84"/>
      <c r="C128" s="84"/>
      <c r="D128" s="35"/>
      <c r="E128" s="35"/>
      <c r="F128" s="35"/>
      <c r="G128" s="104"/>
      <c r="H128" s="35"/>
      <c r="I128" s="35"/>
      <c r="J128" s="35"/>
      <c r="K128" s="104"/>
      <c r="L128" s="104"/>
      <c r="M128" s="35"/>
      <c r="N128" s="104"/>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row>
    <row r="129" spans="1:43" s="12" customFormat="1" x14ac:dyDescent="0.2">
      <c r="A129" s="84"/>
      <c r="B129" s="84"/>
      <c r="C129" s="84"/>
      <c r="D129" s="35"/>
      <c r="E129" s="35"/>
      <c r="F129" s="35"/>
      <c r="G129" s="104"/>
      <c r="H129" s="35"/>
      <c r="I129" s="35"/>
      <c r="J129" s="35"/>
      <c r="K129" s="104"/>
      <c r="L129" s="104"/>
      <c r="M129" s="35"/>
      <c r="N129" s="104"/>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row>
    <row r="130" spans="1:43" s="12" customFormat="1" x14ac:dyDescent="0.2">
      <c r="A130" s="84"/>
      <c r="B130" s="84"/>
      <c r="C130" s="84"/>
      <c r="D130" s="35"/>
      <c r="E130" s="35"/>
      <c r="F130" s="35"/>
      <c r="G130" s="104"/>
      <c r="H130" s="35"/>
      <c r="I130" s="35"/>
      <c r="J130" s="35"/>
      <c r="K130" s="104"/>
      <c r="L130" s="104"/>
      <c r="M130" s="35"/>
      <c r="N130" s="104"/>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row>
    <row r="131" spans="1:43" s="12" customFormat="1" x14ac:dyDescent="0.2">
      <c r="A131" s="84"/>
      <c r="B131" s="84"/>
      <c r="C131" s="84"/>
      <c r="D131" s="35"/>
      <c r="E131" s="35"/>
      <c r="F131" s="35"/>
      <c r="G131" s="104"/>
      <c r="H131" s="35"/>
      <c r="I131" s="35"/>
      <c r="J131" s="35"/>
      <c r="K131" s="104"/>
      <c r="L131" s="104"/>
      <c r="M131" s="35"/>
      <c r="N131" s="104"/>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row>
    <row r="132" spans="1:43" s="12" customFormat="1" x14ac:dyDescent="0.2">
      <c r="A132" s="84"/>
      <c r="B132" s="84"/>
      <c r="C132" s="84"/>
      <c r="D132" s="35"/>
      <c r="E132" s="35"/>
      <c r="F132" s="35"/>
      <c r="G132" s="104"/>
      <c r="H132" s="35"/>
      <c r="I132" s="35"/>
      <c r="J132" s="35"/>
      <c r="K132" s="104"/>
      <c r="L132" s="104"/>
      <c r="M132" s="35"/>
      <c r="N132" s="104"/>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row>
    <row r="133" spans="1:43" s="12" customFormat="1" x14ac:dyDescent="0.2">
      <c r="A133" s="84"/>
      <c r="B133" s="84"/>
      <c r="C133" s="84"/>
      <c r="D133" s="35"/>
      <c r="E133" s="35"/>
      <c r="F133" s="35"/>
      <c r="G133" s="104"/>
      <c r="H133" s="35"/>
      <c r="I133" s="35"/>
      <c r="J133" s="35"/>
      <c r="K133" s="104"/>
      <c r="L133" s="104"/>
      <c r="M133" s="35"/>
      <c r="N133" s="104"/>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row>
    <row r="134" spans="1:43" s="12" customFormat="1" x14ac:dyDescent="0.2">
      <c r="A134" s="84"/>
      <c r="B134" s="84"/>
      <c r="C134" s="84"/>
      <c r="D134" s="35"/>
      <c r="E134" s="35"/>
      <c r="F134" s="35"/>
      <c r="G134" s="104"/>
      <c r="H134" s="35"/>
      <c r="I134" s="35"/>
      <c r="J134" s="35"/>
      <c r="K134" s="104"/>
      <c r="L134" s="104"/>
      <c r="M134" s="35"/>
      <c r="N134" s="104"/>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row>
    <row r="135" spans="1:43" s="12" customFormat="1" x14ac:dyDescent="0.2">
      <c r="A135" s="84"/>
      <c r="B135" s="84"/>
      <c r="C135" s="84"/>
      <c r="D135" s="35"/>
      <c r="E135" s="35"/>
      <c r="F135" s="35"/>
      <c r="G135" s="104"/>
      <c r="H135" s="35"/>
      <c r="I135" s="35"/>
      <c r="J135" s="35"/>
      <c r="K135" s="104"/>
      <c r="L135" s="104"/>
      <c r="M135" s="35"/>
      <c r="N135" s="104"/>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row>
    <row r="136" spans="1:43" s="12" customFormat="1" x14ac:dyDescent="0.2">
      <c r="A136" s="84"/>
      <c r="B136" s="84"/>
      <c r="C136" s="84"/>
      <c r="D136" s="35"/>
      <c r="E136" s="35"/>
      <c r="F136" s="35"/>
      <c r="G136" s="104"/>
      <c r="H136" s="35"/>
      <c r="I136" s="35"/>
      <c r="J136" s="35"/>
      <c r="K136" s="104"/>
      <c r="L136" s="104"/>
      <c r="M136" s="35"/>
      <c r="N136" s="104"/>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row>
    <row r="137" spans="1:43" s="12" customFormat="1" x14ac:dyDescent="0.2">
      <c r="A137" s="84"/>
      <c r="B137" s="84"/>
      <c r="C137" s="84"/>
      <c r="D137" s="35"/>
      <c r="E137" s="35"/>
      <c r="F137" s="35"/>
      <c r="G137" s="104"/>
      <c r="H137" s="35"/>
      <c r="I137" s="35"/>
      <c r="J137" s="35"/>
      <c r="K137" s="104"/>
      <c r="L137" s="104"/>
      <c r="M137" s="35"/>
      <c r="N137" s="104"/>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row>
    <row r="138" spans="1:43" s="12" customFormat="1" x14ac:dyDescent="0.2">
      <c r="A138" s="84"/>
      <c r="B138" s="84"/>
      <c r="C138" s="84"/>
      <c r="D138" s="35"/>
      <c r="E138" s="35"/>
      <c r="F138" s="35"/>
      <c r="G138" s="104"/>
      <c r="H138" s="35"/>
      <c r="I138" s="35"/>
      <c r="J138" s="35"/>
      <c r="K138" s="104"/>
      <c r="L138" s="104"/>
      <c r="M138" s="35"/>
      <c r="N138" s="104"/>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row>
    <row r="139" spans="1:43" s="12" customFormat="1" x14ac:dyDescent="0.2">
      <c r="A139" s="84"/>
      <c r="B139" s="84"/>
      <c r="C139" s="84"/>
      <c r="D139" s="35"/>
      <c r="E139" s="35"/>
      <c r="F139" s="35"/>
      <c r="G139" s="104"/>
      <c r="H139" s="35"/>
      <c r="I139" s="35"/>
      <c r="J139" s="35"/>
      <c r="K139" s="104"/>
      <c r="L139" s="104"/>
      <c r="M139" s="35"/>
      <c r="N139" s="104"/>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row>
    <row r="140" spans="1:43" s="12" customFormat="1" x14ac:dyDescent="0.2">
      <c r="A140" s="84"/>
      <c r="B140" s="84"/>
      <c r="C140" s="84"/>
      <c r="D140" s="35"/>
      <c r="E140" s="35"/>
      <c r="F140" s="35"/>
      <c r="G140" s="104"/>
      <c r="H140" s="35"/>
      <c r="I140" s="35"/>
      <c r="J140" s="35"/>
      <c r="K140" s="104"/>
      <c r="L140" s="104"/>
      <c r="M140" s="35"/>
      <c r="N140" s="104"/>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row>
    <row r="141" spans="1:43" s="12" customFormat="1" x14ac:dyDescent="0.2">
      <c r="A141" s="84"/>
      <c r="B141" s="84"/>
      <c r="C141" s="84"/>
      <c r="D141" s="35"/>
      <c r="E141" s="35"/>
      <c r="F141" s="35"/>
      <c r="G141" s="104"/>
      <c r="H141" s="35"/>
      <c r="I141" s="35"/>
      <c r="J141" s="35"/>
      <c r="K141" s="104"/>
      <c r="L141" s="104"/>
      <c r="M141" s="35"/>
      <c r="N141" s="104"/>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row>
    <row r="142" spans="1:43" s="12" customFormat="1" x14ac:dyDescent="0.2">
      <c r="A142" s="84"/>
      <c r="B142" s="84"/>
      <c r="C142" s="84"/>
      <c r="D142" s="35"/>
      <c r="E142" s="35"/>
      <c r="F142" s="35"/>
      <c r="G142" s="104"/>
      <c r="H142" s="35"/>
      <c r="I142" s="35"/>
      <c r="J142" s="35"/>
      <c r="K142" s="104"/>
      <c r="L142" s="104"/>
      <c r="M142" s="35"/>
      <c r="N142" s="104"/>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row>
    <row r="143" spans="1:43" s="12" customFormat="1" x14ac:dyDescent="0.2">
      <c r="A143" s="84"/>
      <c r="B143" s="84"/>
      <c r="C143" s="84"/>
      <c r="D143" s="35"/>
      <c r="E143" s="35"/>
      <c r="F143" s="35"/>
      <c r="G143" s="104"/>
      <c r="H143" s="35"/>
      <c r="I143" s="35"/>
      <c r="J143" s="35"/>
      <c r="K143" s="104"/>
      <c r="L143" s="104"/>
      <c r="M143" s="35"/>
      <c r="N143" s="104"/>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row>
    <row r="144" spans="1:43" s="12" customFormat="1" x14ac:dyDescent="0.2">
      <c r="A144" s="84"/>
      <c r="B144" s="84"/>
      <c r="C144" s="84"/>
      <c r="D144" s="35"/>
      <c r="E144" s="35"/>
      <c r="F144" s="35"/>
      <c r="G144" s="104"/>
      <c r="H144" s="35"/>
      <c r="I144" s="35"/>
      <c r="J144" s="35"/>
      <c r="K144" s="104"/>
      <c r="L144" s="104"/>
      <c r="M144" s="35"/>
      <c r="N144" s="104"/>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row>
    <row r="145" spans="1:43" s="12" customFormat="1" x14ac:dyDescent="0.2">
      <c r="A145" s="84"/>
      <c r="B145" s="84"/>
      <c r="C145" s="84"/>
      <c r="D145" s="35"/>
      <c r="E145" s="35"/>
      <c r="F145" s="35"/>
      <c r="G145" s="104"/>
      <c r="H145" s="35"/>
      <c r="I145" s="35"/>
      <c r="J145" s="35"/>
      <c r="K145" s="104"/>
      <c r="L145" s="104"/>
      <c r="M145" s="35"/>
      <c r="N145" s="104"/>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row>
    <row r="146" spans="1:43" s="12" customFormat="1" x14ac:dyDescent="0.2">
      <c r="A146" s="109"/>
      <c r="B146" s="109"/>
      <c r="C146" s="109"/>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row>
    <row r="147" spans="1:43" s="12" customFormat="1" ht="18" customHeight="1" x14ac:dyDescent="0.2"/>
    <row r="148" spans="1:43" s="12" customFormat="1" ht="21" hidden="1" customHeight="1" x14ac:dyDescent="0.2">
      <c r="A148" s="168" t="s">
        <v>82</v>
      </c>
      <c r="B148" s="169"/>
      <c r="C148" s="169"/>
      <c r="D148" s="169"/>
      <c r="E148" s="169"/>
      <c r="F148" s="169"/>
      <c r="G148" s="169"/>
      <c r="H148" s="169"/>
      <c r="I148" s="169"/>
      <c r="J148" s="169"/>
      <c r="K148" s="169"/>
      <c r="L148" s="169"/>
      <c r="M148" s="170"/>
    </row>
    <row r="149" spans="1:43" s="12" customFormat="1" ht="18" hidden="1" customHeight="1" x14ac:dyDescent="0.2">
      <c r="A149" s="13"/>
      <c r="B149" s="13"/>
      <c r="C149" s="13"/>
      <c r="D149" s="13"/>
      <c r="E149" s="13"/>
      <c r="F149" s="13"/>
      <c r="G149" s="13"/>
      <c r="H149" s="13"/>
      <c r="I149" s="13"/>
      <c r="J149" s="13"/>
      <c r="L149" s="13"/>
      <c r="M149" s="13"/>
    </row>
    <row r="150" spans="1:43" s="12" customFormat="1" ht="25.5" hidden="1" customHeight="1" x14ac:dyDescent="0.2">
      <c r="A150" s="13"/>
      <c r="B150" s="156" t="s">
        <v>83</v>
      </c>
      <c r="C150" s="156"/>
      <c r="D150" s="156"/>
      <c r="E150" s="156"/>
      <c r="F150" s="156"/>
      <c r="G150" s="156"/>
      <c r="H150" s="156"/>
      <c r="I150" s="156"/>
      <c r="J150" s="13"/>
      <c r="L150" s="13"/>
      <c r="M150" s="13"/>
      <c r="O150" s="174" t="s">
        <v>84</v>
      </c>
      <c r="P150" s="174"/>
    </row>
    <row r="151" spans="1:43" s="12" customFormat="1" ht="25.5" hidden="1" customHeight="1" x14ac:dyDescent="0.2">
      <c r="A151" s="76" t="s">
        <v>85</v>
      </c>
      <c r="B151" s="110" t="s">
        <v>233</v>
      </c>
      <c r="C151" s="56" t="s">
        <v>181</v>
      </c>
      <c r="D151" s="56" t="s">
        <v>182</v>
      </c>
      <c r="E151" s="56" t="s">
        <v>182</v>
      </c>
      <c r="F151" s="56" t="s">
        <v>202</v>
      </c>
      <c r="G151" s="56"/>
      <c r="H151" s="74" t="s">
        <v>86</v>
      </c>
      <c r="I151" s="74" t="s">
        <v>86</v>
      </c>
      <c r="J151" s="56" t="s">
        <v>70</v>
      </c>
      <c r="K151" s="56" t="s">
        <v>87</v>
      </c>
      <c r="L151" s="56" t="s">
        <v>88</v>
      </c>
      <c r="M151" s="56" t="s">
        <v>89</v>
      </c>
      <c r="O151" s="61" t="s">
        <v>90</v>
      </c>
      <c r="P151" s="61" t="s">
        <v>91</v>
      </c>
    </row>
    <row r="152" spans="1:43" s="12" customFormat="1" ht="25.5" hidden="1" customHeight="1" x14ac:dyDescent="0.2">
      <c r="A152" s="57" t="s">
        <v>92</v>
      </c>
      <c r="B152" s="58"/>
      <c r="C152" s="58"/>
      <c r="D152" s="58"/>
      <c r="E152" s="58"/>
      <c r="F152" s="58"/>
      <c r="G152" s="58"/>
      <c r="H152" s="58"/>
      <c r="I152" s="58"/>
      <c r="J152" s="28"/>
      <c r="K152" s="28"/>
      <c r="L152" s="58"/>
      <c r="M152" s="58"/>
      <c r="O152" s="62" t="str">
        <f>IF(COUNT(B152:I152)='ISM Klassifizierung'!$J$14,IF(SUMPRODUCT((B152:I152&gt;=3)*(B152:I152&lt;&gt;0)*1)&gt;0,'ISM Klassifizierung'!$J$14-SUMPRODUCT((B152:I152&gt;=3)*(B152:I152&lt;&gt;0)*1),"Nein"),"Nein")</f>
        <v>Nein</v>
      </c>
      <c r="P152" s="62" t="str">
        <f>IF(M152="","",VLOOKUP(M152,'ISM Klassifizierung'!$K$4:$L$11,2,FALSE))</f>
        <v/>
      </c>
    </row>
    <row r="153" spans="1:43" s="12" customFormat="1" ht="25.5" hidden="1" customHeight="1" x14ac:dyDescent="0.2">
      <c r="A153" s="57" t="s">
        <v>93</v>
      </c>
      <c r="B153" s="58"/>
      <c r="C153" s="58"/>
      <c r="D153" s="58"/>
      <c r="E153" s="58"/>
      <c r="F153" s="58"/>
      <c r="G153" s="58"/>
      <c r="H153" s="58"/>
      <c r="I153" s="58"/>
      <c r="J153" s="28"/>
      <c r="K153" s="28"/>
      <c r="L153" s="58"/>
      <c r="M153" s="58"/>
      <c r="O153" s="62" t="str">
        <f>IF(COUNT(B153:I153)='ISM Klassifizierung'!$J$14,IF(SUMPRODUCT((B153:I153&gt;=3)*(B153:I153&lt;&gt;0)*1)&gt;0,'ISM Klassifizierung'!$J$14-SUMPRODUCT((B153:I153&gt;=3)*(B153:I153&lt;&gt;0)*1),"Nein"),"Nein")</f>
        <v>Nein</v>
      </c>
      <c r="P153" s="62" t="str">
        <f>IF(M153="","",VLOOKUP(M153,'ISM Klassifizierung'!$K$4:$L$11,2,FALSE))</f>
        <v/>
      </c>
    </row>
    <row r="154" spans="1:43" s="12" customFormat="1" ht="25.5" hidden="1" customHeight="1" x14ac:dyDescent="0.2">
      <c r="A154" s="59" t="s">
        <v>94</v>
      </c>
      <c r="B154" s="58"/>
      <c r="C154" s="58"/>
      <c r="D154" s="58"/>
      <c r="E154" s="58"/>
      <c r="F154" s="58"/>
      <c r="G154" s="58"/>
      <c r="H154" s="58"/>
      <c r="I154" s="58"/>
      <c r="J154" s="28"/>
      <c r="K154" s="28"/>
      <c r="L154" s="58"/>
      <c r="M154" s="58"/>
      <c r="O154" s="62" t="str">
        <f>IF(COUNT(B154:I154)='ISM Klassifizierung'!$J$14,IF(SUMPRODUCT((B154:I154&gt;=3)*(B154:I154&lt;&gt;0)*1)&gt;0,'ISM Klassifizierung'!$J$14-SUMPRODUCT((B154:I154&gt;=3)*(B154:I154&lt;&gt;0)*1),"Nein"),"Nein")</f>
        <v>Nein</v>
      </c>
      <c r="P154" s="62" t="str">
        <f>IF(M154="","",VLOOKUP(M154,'ISM Klassifizierung'!$K$4:$L$11,2,FALSE))</f>
        <v/>
      </c>
    </row>
    <row r="155" spans="1:43" s="12" customFormat="1" ht="25.5" hidden="1" customHeight="1" x14ac:dyDescent="0.2">
      <c r="A155" s="59" t="s">
        <v>95</v>
      </c>
      <c r="B155" s="58"/>
      <c r="C155" s="58"/>
      <c r="D155" s="58"/>
      <c r="E155" s="58"/>
      <c r="F155" s="58"/>
      <c r="G155" s="58"/>
      <c r="H155" s="58"/>
      <c r="I155" s="58"/>
      <c r="J155" s="28"/>
      <c r="K155" s="28"/>
      <c r="L155" s="58"/>
      <c r="M155" s="58"/>
      <c r="O155" s="62" t="str">
        <f>IF(COUNT(B155:I155)='ISM Klassifizierung'!$J$14,IF(SUMPRODUCT((B155:I155&gt;=3)*(B155:I155&lt;&gt;0)*1)&gt;0,'ISM Klassifizierung'!$J$14-SUMPRODUCT((B155:I155&gt;=3)*(B155:I155&lt;&gt;0)*1),"Nein"),"Nein")</f>
        <v>Nein</v>
      </c>
      <c r="P155" s="62" t="str">
        <f>IF(M155="","",VLOOKUP(M155,'ISM Klassifizierung'!$K$4:$L$11,2,FALSE))</f>
        <v/>
      </c>
    </row>
    <row r="156" spans="1:43" s="12" customFormat="1" ht="25.5" hidden="1" customHeight="1" x14ac:dyDescent="0.2">
      <c r="A156" s="13"/>
      <c r="B156" s="13"/>
      <c r="C156" s="13"/>
      <c r="D156" s="13"/>
      <c r="E156" s="13"/>
      <c r="F156" s="13"/>
      <c r="G156" s="13"/>
      <c r="H156" s="13"/>
      <c r="I156" s="13"/>
      <c r="J156" s="13"/>
      <c r="L156" s="13"/>
      <c r="M156" s="13"/>
      <c r="O156" s="63" t="str">
        <f>IF(AND(O152="Nein",O153="Nein",O154="Nein",O155="Nein"),"",MIN(O152:P155))</f>
        <v/>
      </c>
      <c r="P156" s="64"/>
    </row>
    <row r="157" spans="1:43" s="12" customFormat="1" ht="25.5" hidden="1" customHeight="1" x14ac:dyDescent="0.2">
      <c r="A157" s="13"/>
      <c r="B157" s="13"/>
      <c r="C157" s="13"/>
      <c r="D157" s="13"/>
      <c r="E157" s="13"/>
      <c r="F157" s="13"/>
      <c r="G157" s="13"/>
      <c r="H157" s="13"/>
      <c r="I157" s="13"/>
      <c r="J157" s="13"/>
      <c r="K157" s="60" t="s">
        <v>96</v>
      </c>
      <c r="L157" s="56"/>
      <c r="M157" s="13"/>
    </row>
    <row r="158" spans="1:43" s="12" customFormat="1" hidden="1" x14ac:dyDescent="0.2"/>
    <row r="159" spans="1:43" s="12" customFormat="1" hidden="1" x14ac:dyDescent="0.2"/>
    <row r="160" spans="1:43" s="12" customFormat="1" hidden="1" x14ac:dyDescent="0.2"/>
    <row r="161" s="12" customFormat="1" hidden="1" x14ac:dyDescent="0.2"/>
    <row r="162" s="12" customFormat="1" hidden="1" x14ac:dyDescent="0.2"/>
    <row r="163" s="12" customFormat="1" hidden="1" x14ac:dyDescent="0.2"/>
    <row r="164" s="12" customFormat="1" hidden="1" x14ac:dyDescent="0.2"/>
    <row r="165" s="12" customFormat="1" hidden="1" x14ac:dyDescent="0.2"/>
    <row r="166" s="12" customFormat="1" hidden="1" x14ac:dyDescent="0.2"/>
    <row r="167" s="12" customFormat="1" hidden="1" x14ac:dyDescent="0.2"/>
    <row r="168" s="12" customFormat="1" hidden="1" x14ac:dyDescent="0.2"/>
    <row r="169" s="12" customFormat="1" hidden="1" x14ac:dyDescent="0.2"/>
    <row r="170" s="12" customFormat="1" hidden="1" x14ac:dyDescent="0.2"/>
    <row r="171" s="12" customFormat="1" hidden="1" x14ac:dyDescent="0.2"/>
    <row r="172" s="12" customFormat="1" hidden="1" x14ac:dyDescent="0.2"/>
    <row r="173" s="12" customFormat="1" hidden="1" x14ac:dyDescent="0.2"/>
    <row r="174" s="12" customFormat="1" hidden="1" x14ac:dyDescent="0.2"/>
    <row r="175" s="12" customFormat="1" hidden="1" x14ac:dyDescent="0.2"/>
    <row r="176" s="12" customFormat="1" hidden="1" x14ac:dyDescent="0.2"/>
    <row r="177" s="12" customFormat="1" hidden="1" x14ac:dyDescent="0.2"/>
    <row r="178" s="12" customFormat="1" hidden="1" x14ac:dyDescent="0.2"/>
    <row r="179" s="12" customFormat="1" hidden="1" x14ac:dyDescent="0.2"/>
    <row r="180" s="12" customFormat="1" hidden="1" x14ac:dyDescent="0.2"/>
    <row r="181" s="12" customFormat="1" hidden="1" x14ac:dyDescent="0.2"/>
    <row r="182" s="12" customFormat="1" hidden="1" x14ac:dyDescent="0.2"/>
    <row r="183" s="12" customFormat="1" hidden="1" x14ac:dyDescent="0.2"/>
    <row r="184" s="12" customFormat="1" hidden="1" x14ac:dyDescent="0.2"/>
    <row r="185" s="12" customFormat="1" hidden="1" x14ac:dyDescent="0.2"/>
    <row r="186" s="12" customFormat="1" hidden="1" x14ac:dyDescent="0.2"/>
    <row r="187" s="12" customFormat="1" hidden="1" x14ac:dyDescent="0.2"/>
    <row r="188" s="12" customFormat="1" hidden="1" x14ac:dyDescent="0.2"/>
    <row r="189" s="12" customFormat="1" hidden="1" x14ac:dyDescent="0.2"/>
    <row r="190" s="12" customFormat="1" hidden="1" x14ac:dyDescent="0.2"/>
    <row r="191" s="12" customFormat="1" hidden="1" x14ac:dyDescent="0.2"/>
    <row r="192" s="12" customFormat="1" hidden="1" x14ac:dyDescent="0.2"/>
    <row r="193" s="12" customFormat="1" hidden="1" x14ac:dyDescent="0.2"/>
    <row r="194" s="12" customFormat="1" hidden="1" x14ac:dyDescent="0.2"/>
    <row r="195" s="12" customFormat="1" hidden="1" x14ac:dyDescent="0.2"/>
    <row r="196" s="12" customFormat="1" hidden="1" x14ac:dyDescent="0.2"/>
    <row r="197" s="12" customFormat="1" hidden="1" x14ac:dyDescent="0.2"/>
    <row r="198" s="12" customFormat="1" hidden="1" x14ac:dyDescent="0.2"/>
    <row r="199" s="12" customFormat="1" hidden="1" x14ac:dyDescent="0.2"/>
    <row r="200" s="12" customFormat="1" hidden="1" x14ac:dyDescent="0.2"/>
    <row r="201" s="12" customFormat="1" hidden="1" x14ac:dyDescent="0.2"/>
    <row r="202" s="12" customFormat="1" hidden="1" x14ac:dyDescent="0.2"/>
    <row r="203" s="12" customFormat="1" hidden="1" x14ac:dyDescent="0.2"/>
    <row r="204" s="12" customFormat="1" hidden="1" x14ac:dyDescent="0.2"/>
    <row r="205" s="12" customFormat="1" hidden="1" x14ac:dyDescent="0.2"/>
    <row r="206" s="12" customFormat="1" hidden="1" x14ac:dyDescent="0.2"/>
    <row r="207" s="12" customFormat="1" hidden="1" x14ac:dyDescent="0.2"/>
    <row r="208" s="12" customFormat="1" hidden="1" x14ac:dyDescent="0.2"/>
    <row r="209" s="12" customFormat="1" hidden="1" x14ac:dyDescent="0.2"/>
    <row r="210" s="12" customFormat="1" hidden="1" x14ac:dyDescent="0.2"/>
    <row r="211" s="12" customFormat="1" hidden="1" x14ac:dyDescent="0.2"/>
    <row r="212" s="12" customFormat="1" hidden="1" x14ac:dyDescent="0.2"/>
    <row r="213" s="12" customFormat="1" hidden="1" x14ac:dyDescent="0.2"/>
    <row r="214" s="12" customFormat="1" hidden="1" x14ac:dyDescent="0.2"/>
    <row r="215" s="12" customFormat="1" hidden="1" x14ac:dyDescent="0.2"/>
    <row r="216" s="12" customFormat="1" hidden="1" x14ac:dyDescent="0.2"/>
    <row r="217" s="12" customFormat="1" hidden="1" x14ac:dyDescent="0.2"/>
    <row r="218" s="12" customFormat="1" hidden="1" x14ac:dyDescent="0.2"/>
    <row r="219" s="12" customFormat="1" hidden="1" x14ac:dyDescent="0.2"/>
    <row r="220" s="12" customFormat="1" hidden="1" x14ac:dyDescent="0.2"/>
    <row r="221" s="12" customFormat="1" hidden="1" x14ac:dyDescent="0.2"/>
    <row r="222" s="12" customFormat="1" hidden="1" x14ac:dyDescent="0.2"/>
    <row r="223" s="12" customFormat="1" hidden="1" x14ac:dyDescent="0.2"/>
    <row r="224" s="12" customFormat="1" hidden="1" x14ac:dyDescent="0.2"/>
    <row r="225" s="12" customFormat="1" hidden="1" x14ac:dyDescent="0.2"/>
  </sheetData>
  <mergeCells count="84">
    <mergeCell ref="A148:M148"/>
    <mergeCell ref="B150:I150"/>
    <mergeCell ref="O150:P150"/>
    <mergeCell ref="E103:F103"/>
    <mergeCell ref="A105:B105"/>
    <mergeCell ref="A106:B106"/>
    <mergeCell ref="E102:F102"/>
    <mergeCell ref="E91:F91"/>
    <mergeCell ref="E92:F92"/>
    <mergeCell ref="E93:F93"/>
    <mergeCell ref="E94:F94"/>
    <mergeCell ref="E95:F95"/>
    <mergeCell ref="E96:F96"/>
    <mergeCell ref="E97:F97"/>
    <mergeCell ref="E98:F98"/>
    <mergeCell ref="E99:F99"/>
    <mergeCell ref="E100:F100"/>
    <mergeCell ref="E101:F101"/>
    <mergeCell ref="E90:F90"/>
    <mergeCell ref="E79:F79"/>
    <mergeCell ref="E80:F80"/>
    <mergeCell ref="E81:F81"/>
    <mergeCell ref="E82:F82"/>
    <mergeCell ref="E83:F83"/>
    <mergeCell ref="E84:F84"/>
    <mergeCell ref="E85:F85"/>
    <mergeCell ref="E86:F86"/>
    <mergeCell ref="E87:F87"/>
    <mergeCell ref="E88:F88"/>
    <mergeCell ref="E89:F89"/>
    <mergeCell ref="E78:F78"/>
    <mergeCell ref="C71:E71"/>
    <mergeCell ref="G71:J71"/>
    <mergeCell ref="C72:E72"/>
    <mergeCell ref="G72:J72"/>
    <mergeCell ref="C73:E73"/>
    <mergeCell ref="G73:J73"/>
    <mergeCell ref="C74:E74"/>
    <mergeCell ref="G74:J74"/>
    <mergeCell ref="C75:E75"/>
    <mergeCell ref="G75:J75"/>
    <mergeCell ref="E77:F77"/>
    <mergeCell ref="C68:E68"/>
    <mergeCell ref="G68:J68"/>
    <mergeCell ref="C69:E69"/>
    <mergeCell ref="G69:J69"/>
    <mergeCell ref="C70:E70"/>
    <mergeCell ref="G70:J70"/>
    <mergeCell ref="C65:E65"/>
    <mergeCell ref="G65:J65"/>
    <mergeCell ref="C66:E66"/>
    <mergeCell ref="G66:J66"/>
    <mergeCell ref="C67:E67"/>
    <mergeCell ref="G67:J67"/>
    <mergeCell ref="C62:E62"/>
    <mergeCell ref="G62:J62"/>
    <mergeCell ref="C63:E63"/>
    <mergeCell ref="G63:J63"/>
    <mergeCell ref="C64:E64"/>
    <mergeCell ref="G64:J64"/>
    <mergeCell ref="C59:E59"/>
    <mergeCell ref="G59:J59"/>
    <mergeCell ref="C60:E60"/>
    <mergeCell ref="G60:J60"/>
    <mergeCell ref="C61:E61"/>
    <mergeCell ref="G61:J61"/>
    <mergeCell ref="C56:E56"/>
    <mergeCell ref="G56:J56"/>
    <mergeCell ref="C57:E57"/>
    <mergeCell ref="G57:J57"/>
    <mergeCell ref="C58:E58"/>
    <mergeCell ref="G58:J58"/>
    <mergeCell ref="B6:F6"/>
    <mergeCell ref="A9:J9"/>
    <mergeCell ref="A53:R53"/>
    <mergeCell ref="K54:R54"/>
    <mergeCell ref="C55:E55"/>
    <mergeCell ref="G55:J55"/>
    <mergeCell ref="B5:F5"/>
    <mergeCell ref="B1:E1"/>
    <mergeCell ref="J1:K1"/>
    <mergeCell ref="B2:F2"/>
    <mergeCell ref="B3:F3"/>
    <mergeCell ref="B4:F4"/>
  </mergeCells>
  <conditionalFormatting sqref="J13:J39 J44:J51">
    <cfRule type="expression" dxfId="734" priority="116">
      <formula>$B13="nein"</formula>
    </cfRule>
  </conditionalFormatting>
  <conditionalFormatting sqref="J12 C12:I51">
    <cfRule type="expression" dxfId="733" priority="115">
      <formula>$B12="nein"</formula>
    </cfRule>
  </conditionalFormatting>
  <conditionalFormatting sqref="C16:D51 F16:F51">
    <cfRule type="expression" dxfId="732" priority="114">
      <formula>$B16="nein"</formula>
    </cfRule>
  </conditionalFormatting>
  <conditionalFormatting sqref="J40:J43">
    <cfRule type="expression" dxfId="731" priority="113">
      <formula>$B40="nein"</formula>
    </cfRule>
  </conditionalFormatting>
  <conditionalFormatting sqref="G12:I51">
    <cfRule type="expression" dxfId="730" priority="112">
      <formula>$B12="nein"</formula>
    </cfRule>
  </conditionalFormatting>
  <conditionalFormatting sqref="E12:E51">
    <cfRule type="expression" dxfId="729" priority="111">
      <formula>$B12="nein"</formula>
    </cfRule>
  </conditionalFormatting>
  <conditionalFormatting sqref="F105">
    <cfRule type="expression" dxfId="728" priority="64">
      <formula>F$105=0</formula>
    </cfRule>
  </conditionalFormatting>
  <conditionalFormatting sqref="G105">
    <cfRule type="expression" dxfId="727" priority="63">
      <formula>G$105=0</formula>
    </cfRule>
  </conditionalFormatting>
  <conditionalFormatting sqref="E105">
    <cfRule type="expression" dxfId="726" priority="62">
      <formula>E$105=0</formula>
    </cfRule>
  </conditionalFormatting>
  <conditionalFormatting sqref="D105">
    <cfRule type="expression" dxfId="725" priority="61">
      <formula>D$105=0</formula>
    </cfRule>
  </conditionalFormatting>
  <conditionalFormatting sqref="H105">
    <cfRule type="expression" dxfId="724" priority="60">
      <formula>H$105=0</formula>
    </cfRule>
  </conditionalFormatting>
  <conditionalFormatting sqref="I105">
    <cfRule type="expression" dxfId="723" priority="59">
      <formula>I$105=0</formula>
    </cfRule>
  </conditionalFormatting>
  <conditionalFormatting sqref="J105">
    <cfRule type="expression" dxfId="722" priority="58">
      <formula>J$105=0</formula>
    </cfRule>
  </conditionalFormatting>
  <conditionalFormatting sqref="K105">
    <cfRule type="expression" dxfId="721" priority="57">
      <formula>K$105=0</formula>
    </cfRule>
  </conditionalFormatting>
  <conditionalFormatting sqref="L105">
    <cfRule type="expression" dxfId="720" priority="56">
      <formula>L$105=0</formula>
    </cfRule>
  </conditionalFormatting>
  <conditionalFormatting sqref="M105">
    <cfRule type="expression" dxfId="719" priority="55">
      <formula>M$105=0</formula>
    </cfRule>
  </conditionalFormatting>
  <conditionalFormatting sqref="N105">
    <cfRule type="expression" dxfId="718" priority="54">
      <formula>N$105=0</formula>
    </cfRule>
  </conditionalFormatting>
  <conditionalFormatting sqref="O105:O146">
    <cfRule type="expression" dxfId="717" priority="53">
      <formula>O$105=0</formula>
    </cfRule>
  </conditionalFormatting>
  <conditionalFormatting sqref="P105 P146">
    <cfRule type="expression" dxfId="716" priority="52">
      <formula>P$105=0</formula>
    </cfRule>
  </conditionalFormatting>
  <conditionalFormatting sqref="Q105:Q146">
    <cfRule type="expression" dxfId="715" priority="51">
      <formula>Q$105=0</formula>
    </cfRule>
  </conditionalFormatting>
  <conditionalFormatting sqref="R105:R146">
    <cfRule type="expression" dxfId="714" priority="50">
      <formula>R$105=0</formula>
    </cfRule>
  </conditionalFormatting>
  <conditionalFormatting sqref="S105:S146">
    <cfRule type="expression" dxfId="713" priority="49">
      <formula>S$105=0</formula>
    </cfRule>
  </conditionalFormatting>
  <conditionalFormatting sqref="T105:T146">
    <cfRule type="expression" dxfId="712" priority="48">
      <formula>T$105=0</formula>
    </cfRule>
  </conditionalFormatting>
  <conditionalFormatting sqref="U105:U146">
    <cfRule type="expression" dxfId="711" priority="47">
      <formula>U$105=0</formula>
    </cfRule>
  </conditionalFormatting>
  <conditionalFormatting sqref="V105:V146">
    <cfRule type="expression" dxfId="710" priority="46">
      <formula>V$105=0</formula>
    </cfRule>
  </conditionalFormatting>
  <conditionalFormatting sqref="W105:W146">
    <cfRule type="expression" dxfId="709" priority="45">
      <formula>W$105=0</formula>
    </cfRule>
  </conditionalFormatting>
  <conditionalFormatting sqref="X105:X146">
    <cfRule type="expression" dxfId="708" priority="44">
      <formula>X$105=0</formula>
    </cfRule>
  </conditionalFormatting>
  <conditionalFormatting sqref="Y105:Y146">
    <cfRule type="expression" dxfId="707" priority="43">
      <formula>Y$105=0</formula>
    </cfRule>
  </conditionalFormatting>
  <conditionalFormatting sqref="Z105:Z146">
    <cfRule type="expression" dxfId="706" priority="42">
      <formula>Z$105=0</formula>
    </cfRule>
  </conditionalFormatting>
  <conditionalFormatting sqref="AA105:AA146">
    <cfRule type="expression" dxfId="705" priority="41">
      <formula>AA$105=0</formula>
    </cfRule>
  </conditionalFormatting>
  <conditionalFormatting sqref="AB105:AB146">
    <cfRule type="expression" dxfId="704" priority="40">
      <formula>AB$105=0</formula>
    </cfRule>
  </conditionalFormatting>
  <conditionalFormatting sqref="AC105:AC146">
    <cfRule type="expression" dxfId="703" priority="39">
      <formula>AC$105=0</formula>
    </cfRule>
  </conditionalFormatting>
  <conditionalFormatting sqref="AD105:AD146">
    <cfRule type="expression" dxfId="702" priority="38">
      <formula>AD$105=0</formula>
    </cfRule>
  </conditionalFormatting>
  <conditionalFormatting sqref="F56:F75">
    <cfRule type="expression" dxfId="701" priority="15">
      <formula>$L$157="-"</formula>
    </cfRule>
    <cfRule type="expression" dxfId="700" priority="110">
      <formula>$B56="nein"</formula>
    </cfRule>
  </conditionalFormatting>
  <conditionalFormatting sqref="F56:F75">
    <cfRule type="expression" dxfId="699" priority="109">
      <formula>$B56="nein"</formula>
    </cfRule>
  </conditionalFormatting>
  <conditionalFormatting sqref="C78:C85">
    <cfRule type="expression" dxfId="698" priority="108">
      <formula>$B78="nein"</formula>
    </cfRule>
  </conditionalFormatting>
  <conditionalFormatting sqref="C78:C85">
    <cfRule type="expression" dxfId="697" priority="107">
      <formula>$B78="nein"</formula>
    </cfRule>
  </conditionalFormatting>
  <conditionalFormatting sqref="C86:C103">
    <cfRule type="expression" dxfId="696" priority="106">
      <formula>$B86="nein"</formula>
    </cfRule>
  </conditionalFormatting>
  <conditionalFormatting sqref="C86:C103">
    <cfRule type="expression" dxfId="695" priority="105">
      <formula>$B86="nein"</formula>
    </cfRule>
  </conditionalFormatting>
  <conditionalFormatting sqref="AE105:AE146">
    <cfRule type="expression" dxfId="694" priority="37">
      <formula>AE$105=0</formula>
    </cfRule>
  </conditionalFormatting>
  <conditionalFormatting sqref="AF105:AF146">
    <cfRule type="expression" dxfId="693" priority="36">
      <formula>AF$105=0</formula>
    </cfRule>
  </conditionalFormatting>
  <conditionalFormatting sqref="AG105:AG146">
    <cfRule type="expression" dxfId="692" priority="35">
      <formula>AG$105=0</formula>
    </cfRule>
  </conditionalFormatting>
  <conditionalFormatting sqref="AH105:AH146">
    <cfRule type="expression" dxfId="691" priority="34">
      <formula>AH$105=0</formula>
    </cfRule>
  </conditionalFormatting>
  <conditionalFormatting sqref="AI105:AI146">
    <cfRule type="expression" dxfId="690" priority="33">
      <formula>AI$105=0</formula>
    </cfRule>
  </conditionalFormatting>
  <conditionalFormatting sqref="AJ105:AJ146">
    <cfRule type="expression" dxfId="689" priority="32">
      <formula>AJ$105=0</formula>
    </cfRule>
  </conditionalFormatting>
  <conditionalFormatting sqref="AK105:AK146">
    <cfRule type="expression" dxfId="688" priority="31">
      <formula>AK$105=0</formula>
    </cfRule>
  </conditionalFormatting>
  <conditionalFormatting sqref="AL105:AL146">
    <cfRule type="expression" dxfId="687" priority="30">
      <formula>AL$105=0</formula>
    </cfRule>
  </conditionalFormatting>
  <conditionalFormatting sqref="AM105:AM146">
    <cfRule type="expression" dxfId="686" priority="29">
      <formula>AM$105=0</formula>
    </cfRule>
  </conditionalFormatting>
  <conditionalFormatting sqref="AN105:AN146">
    <cfRule type="expression" dxfId="685" priority="28">
      <formula>AN$105=0</formula>
    </cfRule>
  </conditionalFormatting>
  <conditionalFormatting sqref="AO105:AO146">
    <cfRule type="expression" dxfId="684" priority="27">
      <formula>AO$105=0</formula>
    </cfRule>
  </conditionalFormatting>
  <conditionalFormatting sqref="AP105:AP146">
    <cfRule type="expression" dxfId="683" priority="26">
      <formula>AP$105=0</formula>
    </cfRule>
  </conditionalFormatting>
  <conditionalFormatting sqref="AQ105:AQ146">
    <cfRule type="expression" dxfId="682" priority="25">
      <formula>AQ$105=0</formula>
    </cfRule>
  </conditionalFormatting>
  <conditionalFormatting sqref="O146:AQ146 O106:O145 Q106:AQ145">
    <cfRule type="cellIs" dxfId="681" priority="24" operator="equal">
      <formula>"x"</formula>
    </cfRule>
  </conditionalFormatting>
  <conditionalFormatting sqref="O106:O146">
    <cfRule type="expression" dxfId="680" priority="76" stopIfTrue="1">
      <formula>AND($A$23&lt;&gt;"",$B$23&lt;&gt;"ja")</formula>
    </cfRule>
  </conditionalFormatting>
  <conditionalFormatting sqref="P146">
    <cfRule type="expression" dxfId="679" priority="77" stopIfTrue="1">
      <formula>AND($A$24&lt;&gt;"",$B$24&lt;&gt;"ja")</formula>
    </cfRule>
  </conditionalFormatting>
  <conditionalFormatting sqref="Q106:Q146">
    <cfRule type="expression" dxfId="678" priority="78" stopIfTrue="1">
      <formula>AND($A$25&lt;&gt;"",$B$25&lt;&gt;"ja")</formula>
    </cfRule>
  </conditionalFormatting>
  <conditionalFormatting sqref="R106:R146">
    <cfRule type="expression" dxfId="677" priority="79" stopIfTrue="1">
      <formula>AND($A$26&lt;&gt;"",$B$26&lt;&gt;"ja")</formula>
    </cfRule>
  </conditionalFormatting>
  <conditionalFormatting sqref="S106:S146">
    <cfRule type="expression" dxfId="676" priority="80" stopIfTrue="1">
      <formula>AND($A$27&lt;&gt;"",$B$27&lt;&gt;"ja")</formula>
    </cfRule>
  </conditionalFormatting>
  <conditionalFormatting sqref="T106:T146">
    <cfRule type="expression" dxfId="675" priority="81" stopIfTrue="1">
      <formula>AND($A$28&lt;&gt;"",$B$28&lt;&gt;"ja")</formula>
    </cfRule>
  </conditionalFormatting>
  <conditionalFormatting sqref="U106:U146">
    <cfRule type="expression" dxfId="674" priority="82" stopIfTrue="1">
      <formula>AND($A$29&lt;&gt;"",$B$29&lt;&gt;"ja")</formula>
    </cfRule>
  </conditionalFormatting>
  <conditionalFormatting sqref="V106:V146">
    <cfRule type="expression" dxfId="673" priority="83" stopIfTrue="1">
      <formula>AND($A$30&lt;&gt;"",$B$30&lt;&gt;"ja")</formula>
    </cfRule>
  </conditionalFormatting>
  <conditionalFormatting sqref="W106:W146">
    <cfRule type="expression" dxfId="672" priority="84" stopIfTrue="1">
      <formula>AND($A$31&lt;&gt;"",$B$31&lt;&gt;"ja")</formula>
    </cfRule>
  </conditionalFormatting>
  <conditionalFormatting sqref="X106:X146">
    <cfRule type="expression" dxfId="671" priority="85" stopIfTrue="1">
      <formula>AND($A$32&lt;&gt;"",$B$32&lt;&gt;"ja")</formula>
    </cfRule>
  </conditionalFormatting>
  <conditionalFormatting sqref="Y106:Y146">
    <cfRule type="expression" dxfId="670" priority="86" stopIfTrue="1">
      <formula>AND($A$33&lt;&gt;"",$B$33&lt;&gt;"ja")</formula>
    </cfRule>
  </conditionalFormatting>
  <conditionalFormatting sqref="Z106:Z146">
    <cfRule type="expression" dxfId="669" priority="87" stopIfTrue="1">
      <formula>AND($A$34&lt;&gt;"",$B$34&lt;&gt;"ja")</formula>
    </cfRule>
  </conditionalFormatting>
  <conditionalFormatting sqref="AA106:AA146">
    <cfRule type="expression" dxfId="668" priority="88" stopIfTrue="1">
      <formula>AND($A$35&lt;&gt;"",$B$35&lt;&gt;"ja")</formula>
    </cfRule>
  </conditionalFormatting>
  <conditionalFormatting sqref="AB106:AB146">
    <cfRule type="expression" dxfId="667" priority="89" stopIfTrue="1">
      <formula>AND($A$36&lt;&gt;"",$B$36&lt;&gt;"ja")</formula>
    </cfRule>
  </conditionalFormatting>
  <conditionalFormatting sqref="AC106:AC146">
    <cfRule type="expression" dxfId="666" priority="90" stopIfTrue="1">
      <formula>AND($A$37&lt;&gt;"",$B$37&lt;&gt;"ja")</formula>
    </cfRule>
  </conditionalFormatting>
  <conditionalFormatting sqref="AD106:AD146">
    <cfRule type="expression" dxfId="665" priority="91" stopIfTrue="1">
      <formula>AND($A$38&lt;&gt;"",$B$38&lt;&gt;"ja")</formula>
    </cfRule>
  </conditionalFormatting>
  <conditionalFormatting sqref="AE106:AE146">
    <cfRule type="expression" dxfId="664" priority="92" stopIfTrue="1">
      <formula>AND($A$39&lt;&gt;"",$B$39&lt;&gt;"ja")</formula>
    </cfRule>
  </conditionalFormatting>
  <conditionalFormatting sqref="AF106:AF146">
    <cfRule type="expression" dxfId="663" priority="93" stopIfTrue="1">
      <formula>AND($A$40&lt;&gt;"",$B$40&lt;&gt;"ja")</formula>
    </cfRule>
  </conditionalFormatting>
  <conditionalFormatting sqref="AG106:AG146">
    <cfRule type="expression" dxfId="662" priority="94" stopIfTrue="1">
      <formula>AND($A$41&lt;&gt;"",$B$41&lt;&gt;"ja")</formula>
    </cfRule>
  </conditionalFormatting>
  <conditionalFormatting sqref="AH106:AH146">
    <cfRule type="expression" dxfId="661" priority="95" stopIfTrue="1">
      <formula>AND($A$42&lt;&gt;"",$B$42&lt;&gt;"ja")</formula>
    </cfRule>
  </conditionalFormatting>
  <conditionalFormatting sqref="AI106:AI146">
    <cfRule type="expression" dxfId="660" priority="96" stopIfTrue="1">
      <formula>AND($A$43&lt;&gt;"",$B$43&lt;&gt;"ja")</formula>
    </cfRule>
  </conditionalFormatting>
  <conditionalFormatting sqref="AJ106:AJ146">
    <cfRule type="expression" dxfId="659" priority="97" stopIfTrue="1">
      <formula>AND($A$44&lt;&gt;"",$B$44&lt;&gt;"ja")</formula>
    </cfRule>
  </conditionalFormatting>
  <conditionalFormatting sqref="AK106:AK146">
    <cfRule type="expression" dxfId="658" priority="98" stopIfTrue="1">
      <formula>AND($A$45&lt;&gt;"",$B$45&lt;&gt;"ja")</formula>
    </cfRule>
  </conditionalFormatting>
  <conditionalFormatting sqref="AL106:AL146">
    <cfRule type="expression" dxfId="657" priority="99" stopIfTrue="1">
      <formula>AND($A$46&lt;&gt;"",$B$46&lt;&gt;"ja")</formula>
    </cfRule>
  </conditionalFormatting>
  <conditionalFormatting sqref="AM106:AM146">
    <cfRule type="expression" dxfId="656" priority="100" stopIfTrue="1">
      <formula>AND($A$47&lt;&gt;"",$B$47&lt;&gt;"ja")</formula>
    </cfRule>
  </conditionalFormatting>
  <conditionalFormatting sqref="AN106:AN146">
    <cfRule type="expression" dxfId="655" priority="101" stopIfTrue="1">
      <formula>AND($A$48&lt;&gt;"",$B$48&lt;&gt;"ja")</formula>
    </cfRule>
  </conditionalFormatting>
  <conditionalFormatting sqref="AO106:AO146">
    <cfRule type="expression" dxfId="654" priority="102" stopIfTrue="1">
      <formula>AND($A$49&lt;&gt;"",$B$49&lt;&gt;"ja")</formula>
    </cfRule>
  </conditionalFormatting>
  <conditionalFormatting sqref="AP106:AP146">
    <cfRule type="expression" dxfId="653" priority="103" stopIfTrue="1">
      <formula>AND($A$50&lt;&gt;"",$B$50&lt;&gt;"ja")</formula>
    </cfRule>
  </conditionalFormatting>
  <conditionalFormatting sqref="AQ106:AQ146">
    <cfRule type="expression" dxfId="652" priority="104" stopIfTrue="1">
      <formula>AND($A$51&lt;&gt;"",$B$51&lt;&gt;"ja")</formula>
    </cfRule>
  </conditionalFormatting>
  <conditionalFormatting sqref="K56:K75">
    <cfRule type="expression" dxfId="651" priority="23">
      <formula>$F56&lt;&gt;"Ja"</formula>
    </cfRule>
  </conditionalFormatting>
  <conditionalFormatting sqref="L56:L75">
    <cfRule type="expression" dxfId="650" priority="22">
      <formula>$F56&lt;&gt;"Ja"</formula>
    </cfRule>
  </conditionalFormatting>
  <conditionalFormatting sqref="M56:M75">
    <cfRule type="expression" dxfId="649" priority="21">
      <formula>$F56&lt;&gt;"Ja"</formula>
    </cfRule>
  </conditionalFormatting>
  <conditionalFormatting sqref="N56:N75">
    <cfRule type="expression" dxfId="648" priority="20">
      <formula>$F56&lt;&gt;"Ja"</formula>
    </cfRule>
  </conditionalFormatting>
  <conditionalFormatting sqref="O56:O75">
    <cfRule type="expression" dxfId="647" priority="19">
      <formula>$F56&lt;&gt;"Ja"</formula>
    </cfRule>
  </conditionalFormatting>
  <conditionalFormatting sqref="P56:P75">
    <cfRule type="expression" dxfId="646" priority="18">
      <formula>$F56&lt;&gt;"Ja"</formula>
    </cfRule>
  </conditionalFormatting>
  <conditionalFormatting sqref="Q56:Q75">
    <cfRule type="expression" dxfId="645" priority="17">
      <formula>$F56&lt;&gt;"Ja"</formula>
    </cfRule>
  </conditionalFormatting>
  <conditionalFormatting sqref="R56:R75">
    <cfRule type="expression" dxfId="644" priority="16">
      <formula>$F56&lt;&gt;"Ja"</formula>
    </cfRule>
  </conditionalFormatting>
  <conditionalFormatting sqref="C78:C103">
    <cfRule type="expression" dxfId="643" priority="14">
      <formula>$L$157="-"</formula>
    </cfRule>
  </conditionalFormatting>
  <conditionalFormatting sqref="C106:C146">
    <cfRule type="expression" dxfId="642" priority="13">
      <formula>$L$157="-"</formula>
    </cfRule>
  </conditionalFormatting>
  <conditionalFormatting sqref="H78:H91">
    <cfRule type="expression" dxfId="641" priority="12">
      <formula>$B78="nein"</formula>
    </cfRule>
  </conditionalFormatting>
  <conditionalFormatting sqref="H78:H91">
    <cfRule type="expression" dxfId="640" priority="11">
      <formula>$B78="nein"</formula>
    </cfRule>
  </conditionalFormatting>
  <conditionalFormatting sqref="H86:H103">
    <cfRule type="expression" dxfId="639" priority="10">
      <formula>$B86="nein"</formula>
    </cfRule>
  </conditionalFormatting>
  <conditionalFormatting sqref="H86:H103">
    <cfRule type="expression" dxfId="638" priority="9">
      <formula>$B86="nein"</formula>
    </cfRule>
  </conditionalFormatting>
  <conditionalFormatting sqref="H78:H103">
    <cfRule type="expression" dxfId="637" priority="8">
      <formula>$L$157="-"</formula>
    </cfRule>
  </conditionalFormatting>
  <conditionalFormatting sqref="C12:D12 F12:F37">
    <cfRule type="expression" dxfId="636" priority="7">
      <formula>$B12="nein"</formula>
    </cfRule>
  </conditionalFormatting>
  <conditionalFormatting sqref="C13">
    <cfRule type="expression" dxfId="635" priority="6">
      <formula>$B13="nein"</formula>
    </cfRule>
  </conditionalFormatting>
  <conditionalFormatting sqref="C15:C37">
    <cfRule type="expression" dxfId="634" priority="5">
      <formula>$B15="nein"</formula>
    </cfRule>
  </conditionalFormatting>
  <conditionalFormatting sqref="D13:D37">
    <cfRule type="expression" dxfId="633" priority="4">
      <formula>$B13="nein"</formula>
    </cfRule>
  </conditionalFormatting>
  <conditionalFormatting sqref="P106:P145">
    <cfRule type="expression" dxfId="632" priority="2">
      <formula>P$105=0</formula>
    </cfRule>
  </conditionalFormatting>
  <conditionalFormatting sqref="P106:P145">
    <cfRule type="cellIs" dxfId="631" priority="1" operator="equal">
      <formula>"x"</formula>
    </cfRule>
  </conditionalFormatting>
  <conditionalFormatting sqref="P106:P145">
    <cfRule type="expression" dxfId="630" priority="3" stopIfTrue="1">
      <formula>AND($A$23&lt;&gt;"",$B$23&lt;&gt;"ja")</formula>
    </cfRule>
  </conditionalFormatting>
  <dataValidations count="5">
    <dataValidation type="list" allowBlank="1" showInputMessage="1" showErrorMessage="1" sqref="B152:G155">
      <formula1>"1,2,3"</formula1>
    </dataValidation>
    <dataValidation type="list" allowBlank="1" showErrorMessage="1" sqref="G12:G51">
      <formula1>"nicht personenbezogen, personenbezogen, besonders personenbezogen"</formula1>
    </dataValidation>
    <dataValidation type="list" allowBlank="1" showInputMessage="1" showErrorMessage="1" sqref="G78:G103 B56:B75 B12:B51 B78:B103">
      <formula1>"ja, nein"</formula1>
    </dataValidation>
    <dataValidation type="list" allowBlank="1" showInputMessage="1" showErrorMessage="1" promptTitle="Mehrfachselektion möglich" prompt="Für Mehrfachselektion bitte nacheinander über Drop-Down Werte auswählen." sqref="H111:H146 D106:G146 H106:H109 I106:AQ146">
      <formula1>"x"</formula1>
    </dataValidation>
    <dataValidation type="list" allowBlank="1" showInputMessage="1" showErrorMessage="1" sqref="H152:I155">
      <formula1>"1,2,3,4"</formula1>
    </dataValidation>
  </dataValidations>
  <pageMargins left="0.7" right="0.7" top="0.78740157499999996" bottom="0.78740157499999996" header="0.3" footer="0.3"/>
  <pageSetup paperSize="9" scale="56" fitToHeight="0" orientation="landscape" r:id="rId1"/>
  <extLst>
    <ext xmlns:x14="http://schemas.microsoft.com/office/spreadsheetml/2009/9/main" uri="{CCE6A557-97BC-4b89-ADB6-D9C93CAAB3DF}">
      <x14:dataValidations xmlns:xm="http://schemas.microsoft.com/office/excel/2006/main" count="8">
        <x14:dataValidation type="list" allowBlank="1" showErrorMessage="1">
          <x14:formula1>
            <xm:f>'ISM Klassifizierung'!$B$10:$B$13</xm:f>
          </x14:formula1>
          <xm:sqref>C12:F51</xm:sqref>
        </x14:dataValidation>
        <x14:dataValidation type="list" allowBlank="1" showInputMessage="1" showErrorMessage="1">
          <x14:formula1>
            <xm:f>Allgemein!$L$43:$L$82</xm:f>
          </x14:formula1>
          <xm:sqref>G56:J75</xm:sqref>
        </x14:dataValidation>
        <x14:dataValidation type="list" allowBlank="1" showInputMessage="1" showErrorMessage="1">
          <x14:formula1>
            <xm:f>Allgemein!$I$43:$I$82</xm:f>
          </x14:formula1>
          <xm:sqref>C56:E75</xm:sqref>
        </x14:dataValidation>
        <x14:dataValidation type="list" allowBlank="1" showErrorMessage="1">
          <x14:formula1>
            <xm:f>'ISM Klassifizierung'!$I$4:$I$11</xm:f>
          </x14:formula1>
          <xm:sqref>H12:H51</xm:sqref>
        </x14:dataValidation>
        <x14:dataValidation type="list" allowBlank="1" showErrorMessage="1">
          <x14:formula1>
            <xm:f>'Ressourcen DB'!$G$2:$G$3</xm:f>
          </x14:formula1>
          <xm:sqref>C78:C103 F56:F75 I12:I51 H78:H103</xm:sqref>
        </x14:dataValidation>
        <x14:dataValidation type="list" allowBlank="1" showInputMessage="1" showErrorMessage="1">
          <x14:formula1>
            <xm:f>'ISM Klassifizierung'!$K$4:$K$11</xm:f>
          </x14:formula1>
          <xm:sqref>M152:M155</xm:sqref>
        </x14:dataValidation>
        <x14:dataValidation type="list" allowBlank="1" showInputMessage="1">
          <x14:formula1>
            <xm:f>'Ressourcen DB'!$G$2:$G$3</xm:f>
          </x14:formula1>
          <xm:sqref>C106:C146</xm:sqref>
        </x14:dataValidation>
        <x14:dataValidation type="list" allowBlank="1" showInputMessage="1">
          <x14:formula1>
            <xm:f>'Software Inventar'!$C$4:$C$128</xm:f>
          </x14:formula1>
          <xm:sqref>A108:B146 A106:B106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tabColor rgb="FF148DEA"/>
    <pageSetUpPr fitToPage="1"/>
  </sheetPr>
  <dimension ref="A1:AQ225"/>
  <sheetViews>
    <sheetView showGridLines="0" zoomScale="120" zoomScaleNormal="120" workbookViewId="0">
      <pane xSplit="1" ySplit="11" topLeftCell="B12" activePane="bottomRight" state="frozen"/>
      <selection activeCell="F13" sqref="F13:H13"/>
      <selection pane="topRight" activeCell="F13" sqref="F13:H13"/>
      <selection pane="bottomLeft" activeCell="F13" sqref="F13:H13"/>
      <selection pane="bottomRight" activeCell="O110" sqref="O110"/>
    </sheetView>
  </sheetViews>
  <sheetFormatPr baseColWidth="10" defaultColWidth="11.42578125" defaultRowHeight="12" zeroHeight="1" x14ac:dyDescent="0.2"/>
  <cols>
    <col min="1" max="1" width="36.28515625" style="13" bestFit="1" customWidth="1"/>
    <col min="2" max="4" width="13.28515625" style="13" customWidth="1"/>
    <col min="5" max="5" width="13.28515625" style="13" hidden="1" customWidth="1"/>
    <col min="6" max="6" width="13.28515625" style="13" customWidth="1"/>
    <col min="7" max="7" width="17.85546875" style="13" bestFit="1" customWidth="1"/>
    <col min="8" max="10" width="13.28515625" style="13" customWidth="1"/>
    <col min="11" max="11" width="13.28515625" style="12" customWidth="1"/>
    <col min="12" max="16" width="13.28515625" style="13" customWidth="1"/>
    <col min="17" max="44" width="20" style="13" customWidth="1"/>
    <col min="45" max="16384" width="11.42578125" style="13"/>
  </cols>
  <sheetData>
    <row r="1" spans="1:11" s="12" customFormat="1" ht="68.25" customHeight="1" x14ac:dyDescent="0.35">
      <c r="B1" s="157" t="s">
        <v>367</v>
      </c>
      <c r="C1" s="157"/>
      <c r="D1" s="157"/>
      <c r="E1" s="157"/>
      <c r="F1" s="68"/>
      <c r="G1" s="68"/>
      <c r="H1" s="68"/>
      <c r="I1" s="68"/>
      <c r="J1" s="158"/>
      <c r="K1" s="158"/>
    </row>
    <row r="2" spans="1:11" s="12" customFormat="1" x14ac:dyDescent="0.2">
      <c r="A2" s="106"/>
      <c r="B2" s="159"/>
      <c r="C2" s="159"/>
      <c r="D2" s="159"/>
      <c r="E2" s="159"/>
      <c r="F2" s="159"/>
      <c r="G2" s="14"/>
      <c r="H2" s="14"/>
      <c r="I2" s="14"/>
      <c r="J2" s="14"/>
    </row>
    <row r="3" spans="1:11" s="12" customFormat="1" x14ac:dyDescent="0.2">
      <c r="A3" s="105" t="s">
        <v>228</v>
      </c>
      <c r="B3" s="160" t="s">
        <v>337</v>
      </c>
      <c r="C3" s="161"/>
      <c r="D3" s="161"/>
      <c r="E3" s="161"/>
      <c r="F3" s="162"/>
      <c r="G3" s="14"/>
      <c r="H3" s="14"/>
      <c r="I3" s="14"/>
      <c r="J3" s="14"/>
    </row>
    <row r="4" spans="1:11" s="12" customFormat="1" x14ac:dyDescent="0.2">
      <c r="A4" s="32" t="s">
        <v>59</v>
      </c>
      <c r="B4" s="160"/>
      <c r="C4" s="161"/>
      <c r="D4" s="161"/>
      <c r="E4" s="161"/>
      <c r="F4" s="162"/>
      <c r="G4" s="14"/>
      <c r="H4" s="14"/>
      <c r="I4" s="14"/>
      <c r="J4" s="14"/>
    </row>
    <row r="5" spans="1:11" s="12" customFormat="1" x14ac:dyDescent="0.2">
      <c r="A5" s="32" t="s">
        <v>60</v>
      </c>
      <c r="B5" s="166"/>
      <c r="C5" s="166"/>
      <c r="D5" s="166"/>
      <c r="E5" s="166"/>
      <c r="F5" s="166"/>
      <c r="G5" s="14"/>
      <c r="H5" s="14"/>
      <c r="I5" s="14"/>
    </row>
    <row r="6" spans="1:11" s="12" customFormat="1" x14ac:dyDescent="0.2">
      <c r="A6" s="32" t="s">
        <v>61</v>
      </c>
      <c r="B6" s="167"/>
      <c r="C6" s="166"/>
      <c r="D6" s="166"/>
      <c r="E6" s="166"/>
      <c r="F6" s="166"/>
      <c r="G6" s="14"/>
      <c r="H6" s="14"/>
      <c r="I6" s="14"/>
    </row>
    <row r="7" spans="1:11" s="12" customFormat="1" x14ac:dyDescent="0.2"/>
    <row r="8" spans="1:11" s="12" customFormat="1" x14ac:dyDescent="0.2"/>
    <row r="9" spans="1:11" s="12" customFormat="1" ht="17.25" customHeight="1" x14ac:dyDescent="0.2">
      <c r="A9" s="168" t="s">
        <v>62</v>
      </c>
      <c r="B9" s="169"/>
      <c r="C9" s="169"/>
      <c r="D9" s="169"/>
      <c r="E9" s="169"/>
      <c r="F9" s="169"/>
      <c r="G9" s="169"/>
      <c r="H9" s="169"/>
      <c r="I9" s="169"/>
      <c r="J9" s="170"/>
    </row>
    <row r="10" spans="1:11" s="12" customFormat="1" ht="18" customHeight="1" x14ac:dyDescent="0.2"/>
    <row r="11" spans="1:11" s="12" customFormat="1" ht="30.75" customHeight="1" x14ac:dyDescent="0.2">
      <c r="A11" s="74" t="s">
        <v>54</v>
      </c>
      <c r="B11" s="82" t="s">
        <v>63</v>
      </c>
      <c r="C11" s="74" t="s">
        <v>64</v>
      </c>
      <c r="D11" s="74" t="s">
        <v>65</v>
      </c>
      <c r="E11" s="103" t="s">
        <v>227</v>
      </c>
      <c r="F11" s="74" t="s">
        <v>67</v>
      </c>
      <c r="G11" s="74" t="s">
        <v>68</v>
      </c>
      <c r="H11" s="74"/>
      <c r="I11" s="74"/>
      <c r="J11" s="74" t="s">
        <v>70</v>
      </c>
    </row>
    <row r="12" spans="1:11" s="12" customFormat="1" ht="24" x14ac:dyDescent="0.2">
      <c r="A12" s="15" t="str">
        <f>IF(Allgemein!C43=0,"",Allgemein!C43)</f>
        <v>Arbeitsergebnisse</v>
      </c>
      <c r="B12" s="28" t="s">
        <v>343</v>
      </c>
      <c r="C12" s="28" t="s">
        <v>263</v>
      </c>
      <c r="D12" s="28" t="s">
        <v>263</v>
      </c>
      <c r="E12" s="104"/>
      <c r="F12" s="28" t="s">
        <v>263</v>
      </c>
      <c r="G12" s="28" t="s">
        <v>356</v>
      </c>
      <c r="H12" s="28"/>
      <c r="I12" s="28"/>
      <c r="J12" s="83"/>
      <c r="K12" s="16"/>
    </row>
    <row r="13" spans="1:11" s="12" customFormat="1" ht="11.45" customHeight="1" x14ac:dyDescent="0.2">
      <c r="A13" s="15" t="str">
        <f>IF(Allgemein!C44=0,"",Allgemein!C44)</f>
        <v>Projektdokumentation</v>
      </c>
      <c r="B13" s="28" t="s">
        <v>343</v>
      </c>
      <c r="C13" s="28" t="s">
        <v>263</v>
      </c>
      <c r="D13" s="28" t="s">
        <v>262</v>
      </c>
      <c r="E13" s="104"/>
      <c r="F13" s="28" t="s">
        <v>262</v>
      </c>
      <c r="G13" s="28" t="s">
        <v>356</v>
      </c>
      <c r="H13" s="28"/>
      <c r="I13" s="28"/>
      <c r="J13" s="83"/>
      <c r="K13" s="16"/>
    </row>
    <row r="14" spans="1:11" s="12" customFormat="1" x14ac:dyDescent="0.2">
      <c r="A14" s="15" t="str">
        <f>IF(Allgemein!C45=0,"",Allgemein!C45)</f>
        <v>IT-System- und Dokumentenmanagement</v>
      </c>
      <c r="B14" s="28" t="s">
        <v>353</v>
      </c>
      <c r="C14" s="28"/>
      <c r="D14" s="28"/>
      <c r="E14" s="104"/>
      <c r="F14" s="28"/>
      <c r="G14" s="28"/>
      <c r="H14" s="28"/>
      <c r="I14" s="28"/>
      <c r="J14" s="83"/>
      <c r="K14" s="16"/>
    </row>
    <row r="15" spans="1:11" s="12" customFormat="1" ht="24" x14ac:dyDescent="0.2">
      <c r="A15" s="15" t="str">
        <f>IF(Allgemein!C46=0,"",Allgemein!C46)</f>
        <v>Altprojektdatenbank</v>
      </c>
      <c r="B15" s="28" t="s">
        <v>343</v>
      </c>
      <c r="C15" s="28" t="s">
        <v>263</v>
      </c>
      <c r="D15" s="28" t="s">
        <v>262</v>
      </c>
      <c r="E15" s="104"/>
      <c r="F15" s="28" t="s">
        <v>262</v>
      </c>
      <c r="G15" s="28" t="s">
        <v>356</v>
      </c>
      <c r="H15" s="28"/>
      <c r="I15" s="28"/>
      <c r="J15" s="83"/>
      <c r="K15" s="16"/>
    </row>
    <row r="16" spans="1:11" s="12" customFormat="1" ht="24" x14ac:dyDescent="0.2">
      <c r="A16" s="15" t="str">
        <f>IF(Allgemein!C47=0,"",Allgemein!C47)</f>
        <v>Projektfeinplanung (Arbeitspakete - Git Tickets)</v>
      </c>
      <c r="B16" s="28" t="s">
        <v>343</v>
      </c>
      <c r="C16" s="28" t="s">
        <v>262</v>
      </c>
      <c r="D16" s="28" t="s">
        <v>263</v>
      </c>
      <c r="E16" s="104"/>
      <c r="F16" s="28" t="s">
        <v>263</v>
      </c>
      <c r="G16" s="28" t="s">
        <v>356</v>
      </c>
      <c r="H16" s="28"/>
      <c r="I16" s="28"/>
      <c r="J16" s="28"/>
      <c r="K16" s="16"/>
    </row>
    <row r="17" spans="1:11" s="12" customFormat="1" x14ac:dyDescent="0.2">
      <c r="A17" s="15" t="str">
        <f>IF(Allgemein!C48=0,"",Allgemein!C48)</f>
        <v>Projektgrobplanung</v>
      </c>
      <c r="B17" s="28" t="s">
        <v>353</v>
      </c>
      <c r="C17" s="28"/>
      <c r="D17" s="28"/>
      <c r="E17" s="104"/>
      <c r="F17" s="28"/>
      <c r="G17" s="28"/>
      <c r="H17" s="28"/>
      <c r="I17" s="28"/>
      <c r="J17" s="28"/>
      <c r="K17" s="16"/>
    </row>
    <row r="18" spans="1:11" s="12" customFormat="1" x14ac:dyDescent="0.2">
      <c r="A18" s="15" t="str">
        <f>IF(Allgemein!C49=0,"",Allgemein!C49)</f>
        <v>Rechnungsmanagement</v>
      </c>
      <c r="B18" s="28" t="s">
        <v>353</v>
      </c>
      <c r="C18" s="28"/>
      <c r="D18" s="28"/>
      <c r="E18" s="104"/>
      <c r="F18" s="28"/>
      <c r="G18" s="28"/>
      <c r="H18" s="28"/>
      <c r="I18" s="28"/>
      <c r="J18" s="28"/>
      <c r="K18" s="16"/>
    </row>
    <row r="19" spans="1:11" s="12" customFormat="1" x14ac:dyDescent="0.2">
      <c r="A19" s="15" t="str">
        <f>IF(Allgemein!C50=0,"",Allgemein!C50)</f>
        <v>Projektbasierte Risikoanalyse</v>
      </c>
      <c r="B19" s="28" t="s">
        <v>353</v>
      </c>
      <c r="C19" s="28"/>
      <c r="D19" s="28"/>
      <c r="E19" s="104"/>
      <c r="F19" s="28"/>
      <c r="G19" s="28"/>
      <c r="H19" s="28"/>
      <c r="I19" s="28"/>
      <c r="J19" s="28"/>
      <c r="K19" s="16"/>
    </row>
    <row r="20" spans="1:11" s="12" customFormat="1" ht="24" x14ac:dyDescent="0.2">
      <c r="A20" s="15" t="str">
        <f>IF(Allgemein!C51=0,"",Allgemein!C51)</f>
        <v>Wiki Wissensdatenbank</v>
      </c>
      <c r="B20" s="28" t="s">
        <v>343</v>
      </c>
      <c r="C20" s="28" t="s">
        <v>262</v>
      </c>
      <c r="D20" s="28" t="s">
        <v>262</v>
      </c>
      <c r="E20" s="104"/>
      <c r="F20" s="28" t="s">
        <v>262</v>
      </c>
      <c r="G20" s="28" t="s">
        <v>356</v>
      </c>
      <c r="H20" s="28"/>
      <c r="I20" s="28"/>
      <c r="J20" s="28"/>
      <c r="K20" s="16"/>
    </row>
    <row r="21" spans="1:11" s="12" customFormat="1" ht="24" x14ac:dyDescent="0.2">
      <c r="A21" s="15" t="str">
        <f>IF(Allgemein!C52=0,"",Allgemein!C52)</f>
        <v>Source Code</v>
      </c>
      <c r="B21" s="28" t="s">
        <v>343</v>
      </c>
      <c r="C21" s="28" t="s">
        <v>262</v>
      </c>
      <c r="D21" s="28" t="s">
        <v>262</v>
      </c>
      <c r="E21" s="104"/>
      <c r="F21" s="28" t="s">
        <v>263</v>
      </c>
      <c r="G21" s="28" t="s">
        <v>356</v>
      </c>
      <c r="H21" s="28"/>
      <c r="I21" s="28"/>
      <c r="J21" s="28"/>
      <c r="K21" s="16"/>
    </row>
    <row r="22" spans="1:11" s="12" customFormat="1" x14ac:dyDescent="0.2">
      <c r="A22" s="15" t="str">
        <f>IF(Allgemein!C53=0,"",Allgemein!C53)</f>
        <v>Missionsdaten</v>
      </c>
      <c r="B22" s="28" t="s">
        <v>353</v>
      </c>
      <c r="C22" s="28"/>
      <c r="D22" s="28"/>
      <c r="E22" s="104"/>
      <c r="F22" s="28"/>
      <c r="G22" s="28"/>
      <c r="H22" s="28"/>
      <c r="I22" s="28"/>
      <c r="J22" s="28"/>
      <c r="K22" s="16"/>
    </row>
    <row r="23" spans="1:11" s="12" customFormat="1" x14ac:dyDescent="0.2">
      <c r="A23" s="15" t="str">
        <f>IF(Allgemein!C54=0,"",Allgemein!C54)</f>
        <v>Schlüsselmaterial Mission</v>
      </c>
      <c r="B23" s="28" t="s">
        <v>353</v>
      </c>
      <c r="C23" s="28"/>
      <c r="D23" s="28"/>
      <c r="E23" s="104"/>
      <c r="F23" s="28"/>
      <c r="G23" s="28"/>
      <c r="H23" s="28"/>
      <c r="I23" s="28"/>
      <c r="J23" s="28"/>
      <c r="K23" s="16"/>
    </row>
    <row r="24" spans="1:11" s="12" customFormat="1" x14ac:dyDescent="0.2">
      <c r="A24" s="15" t="str">
        <f>IF(Allgemein!C55=0,"",Allgemein!C55)</f>
        <v/>
      </c>
      <c r="B24" s="28"/>
      <c r="C24" s="28"/>
      <c r="D24" s="28"/>
      <c r="E24" s="104"/>
      <c r="F24" s="28"/>
      <c r="G24" s="28"/>
      <c r="H24" s="28"/>
      <c r="I24" s="28"/>
      <c r="J24" s="28"/>
      <c r="K24" s="16"/>
    </row>
    <row r="25" spans="1:11" s="12" customFormat="1" x14ac:dyDescent="0.2">
      <c r="A25" s="15" t="str">
        <f>IF(Allgemein!C56=0,"",Allgemein!C56)</f>
        <v/>
      </c>
      <c r="B25" s="28"/>
      <c r="C25" s="28"/>
      <c r="D25" s="28"/>
      <c r="E25" s="104"/>
      <c r="F25" s="28"/>
      <c r="G25" s="28"/>
      <c r="H25" s="28"/>
      <c r="I25" s="28"/>
      <c r="J25" s="28"/>
      <c r="K25" s="16"/>
    </row>
    <row r="26" spans="1:11" s="12" customFormat="1" x14ac:dyDescent="0.2">
      <c r="A26" s="15" t="str">
        <f>IF(Allgemein!C57=0,"",Allgemein!C57)</f>
        <v/>
      </c>
      <c r="B26" s="28"/>
      <c r="C26" s="28"/>
      <c r="D26" s="28"/>
      <c r="E26" s="104"/>
      <c r="F26" s="28"/>
      <c r="G26" s="28"/>
      <c r="H26" s="28"/>
      <c r="I26" s="28"/>
      <c r="J26" s="28"/>
      <c r="K26" s="16"/>
    </row>
    <row r="27" spans="1:11" s="12" customFormat="1" hidden="1" x14ac:dyDescent="0.2">
      <c r="A27" s="15" t="str">
        <f>IF(Allgemein!C58=0,"",Allgemein!C58)</f>
        <v/>
      </c>
      <c r="B27" s="28"/>
      <c r="C27" s="28"/>
      <c r="D27" s="28"/>
      <c r="E27" s="104"/>
      <c r="F27" s="28"/>
      <c r="G27" s="28"/>
      <c r="H27" s="28"/>
      <c r="I27" s="28"/>
      <c r="J27" s="28"/>
      <c r="K27" s="16"/>
    </row>
    <row r="28" spans="1:11" s="12" customFormat="1" hidden="1" x14ac:dyDescent="0.2">
      <c r="A28" s="15" t="str">
        <f>IF(Allgemein!C59=0,"",Allgemein!C59)</f>
        <v/>
      </c>
      <c r="B28" s="28"/>
      <c r="C28" s="28"/>
      <c r="D28" s="28"/>
      <c r="E28" s="104"/>
      <c r="F28" s="28"/>
      <c r="G28" s="28"/>
      <c r="H28" s="28"/>
      <c r="I28" s="28"/>
      <c r="J28" s="28"/>
      <c r="K28" s="16"/>
    </row>
    <row r="29" spans="1:11" s="12" customFormat="1" hidden="1" x14ac:dyDescent="0.2">
      <c r="A29" s="15" t="str">
        <f>IF(Allgemein!C60=0,"",Allgemein!C60)</f>
        <v/>
      </c>
      <c r="B29" s="28"/>
      <c r="C29" s="28"/>
      <c r="D29" s="28"/>
      <c r="E29" s="104"/>
      <c r="F29" s="28"/>
      <c r="G29" s="28"/>
      <c r="H29" s="28"/>
      <c r="I29" s="28"/>
      <c r="J29" s="28"/>
      <c r="K29" s="16"/>
    </row>
    <row r="30" spans="1:11" s="12" customFormat="1" hidden="1" x14ac:dyDescent="0.2">
      <c r="A30" s="15" t="str">
        <f>IF(Allgemein!C61=0,"",Allgemein!C61)</f>
        <v/>
      </c>
      <c r="B30" s="28"/>
      <c r="C30" s="28"/>
      <c r="D30" s="28"/>
      <c r="E30" s="104"/>
      <c r="F30" s="28"/>
      <c r="G30" s="28"/>
      <c r="H30" s="28"/>
      <c r="I30" s="28"/>
      <c r="J30" s="28"/>
      <c r="K30" s="16"/>
    </row>
    <row r="31" spans="1:11" s="12" customFormat="1" hidden="1" x14ac:dyDescent="0.2">
      <c r="A31" s="15" t="str">
        <f>IF(Allgemein!C62=0,"",Allgemein!C62)</f>
        <v/>
      </c>
      <c r="B31" s="28"/>
      <c r="C31" s="28"/>
      <c r="D31" s="28"/>
      <c r="E31" s="104"/>
      <c r="F31" s="28"/>
      <c r="G31" s="28"/>
      <c r="H31" s="28"/>
      <c r="I31" s="28"/>
      <c r="J31" s="28"/>
      <c r="K31" s="16"/>
    </row>
    <row r="32" spans="1:11" s="12" customFormat="1" hidden="1" x14ac:dyDescent="0.2">
      <c r="A32" s="15" t="str">
        <f>IF(Allgemein!C63=0,"",Allgemein!C63)</f>
        <v/>
      </c>
      <c r="B32" s="28"/>
      <c r="C32" s="28"/>
      <c r="D32" s="28"/>
      <c r="E32" s="104"/>
      <c r="F32" s="28"/>
      <c r="G32" s="28"/>
      <c r="H32" s="28"/>
      <c r="I32" s="28"/>
      <c r="J32" s="28"/>
      <c r="K32" s="16"/>
    </row>
    <row r="33" spans="1:11" s="12" customFormat="1" hidden="1" x14ac:dyDescent="0.2">
      <c r="A33" s="15" t="str">
        <f>IF(Allgemein!C64=0,"",Allgemein!C64)</f>
        <v/>
      </c>
      <c r="B33" s="28"/>
      <c r="C33" s="28"/>
      <c r="D33" s="28"/>
      <c r="E33" s="104"/>
      <c r="F33" s="28"/>
      <c r="G33" s="28"/>
      <c r="H33" s="28"/>
      <c r="I33" s="28"/>
      <c r="J33" s="28"/>
      <c r="K33" s="16"/>
    </row>
    <row r="34" spans="1:11" s="12" customFormat="1" hidden="1" x14ac:dyDescent="0.2">
      <c r="A34" s="15" t="str">
        <f>IF(Allgemein!C65=0,"",Allgemein!C65)</f>
        <v/>
      </c>
      <c r="B34" s="28"/>
      <c r="C34" s="28"/>
      <c r="D34" s="28"/>
      <c r="E34" s="104"/>
      <c r="F34" s="28"/>
      <c r="G34" s="28"/>
      <c r="H34" s="28"/>
      <c r="I34" s="28"/>
      <c r="J34" s="28"/>
      <c r="K34" s="16"/>
    </row>
    <row r="35" spans="1:11" s="12" customFormat="1" hidden="1" x14ac:dyDescent="0.2">
      <c r="A35" s="15" t="str">
        <f>IF(Allgemein!C66=0,"",Allgemein!C66)</f>
        <v/>
      </c>
      <c r="B35" s="28"/>
      <c r="C35" s="28"/>
      <c r="D35" s="28"/>
      <c r="E35" s="104"/>
      <c r="F35" s="28"/>
      <c r="G35" s="28"/>
      <c r="H35" s="28"/>
      <c r="I35" s="28"/>
      <c r="J35" s="28"/>
      <c r="K35" s="16"/>
    </row>
    <row r="36" spans="1:11" s="12" customFormat="1" ht="11.45" hidden="1" customHeight="1" x14ac:dyDescent="0.2">
      <c r="A36" s="15" t="str">
        <f>IF(Allgemein!C67=0,"",Allgemein!C67)</f>
        <v/>
      </c>
      <c r="B36" s="28"/>
      <c r="C36" s="28"/>
      <c r="D36" s="28"/>
      <c r="E36" s="104"/>
      <c r="F36" s="28"/>
      <c r="G36" s="28"/>
      <c r="H36" s="28"/>
      <c r="I36" s="28"/>
      <c r="J36" s="28"/>
      <c r="K36" s="16"/>
    </row>
    <row r="37" spans="1:11" s="12" customFormat="1" ht="11.45" hidden="1" customHeight="1" x14ac:dyDescent="0.2">
      <c r="A37" s="15" t="str">
        <f>IF(Allgemein!C68=0,"",Allgemein!C68)</f>
        <v/>
      </c>
      <c r="B37" s="28"/>
      <c r="C37" s="28"/>
      <c r="D37" s="28"/>
      <c r="E37" s="104"/>
      <c r="F37" s="28"/>
      <c r="G37" s="28"/>
      <c r="H37" s="28"/>
      <c r="I37" s="28"/>
      <c r="J37" s="28"/>
      <c r="K37" s="16"/>
    </row>
    <row r="38" spans="1:11" s="12" customFormat="1" hidden="1" x14ac:dyDescent="0.2">
      <c r="A38" s="15" t="str">
        <f>IF(Allgemein!C69=0,"",Allgemein!C69)</f>
        <v/>
      </c>
      <c r="B38" s="28"/>
      <c r="C38" s="28"/>
      <c r="D38" s="28"/>
      <c r="E38" s="104"/>
      <c r="F38" s="28"/>
      <c r="G38" s="28"/>
      <c r="H38" s="28"/>
      <c r="I38" s="28"/>
      <c r="J38" s="28"/>
    </row>
    <row r="39" spans="1:11" s="12" customFormat="1" hidden="1" x14ac:dyDescent="0.2">
      <c r="A39" s="15" t="str">
        <f>IF(Allgemein!C70=0,"",Allgemein!C70)</f>
        <v/>
      </c>
      <c r="B39" s="28"/>
      <c r="C39" s="28"/>
      <c r="D39" s="28"/>
      <c r="E39" s="104"/>
      <c r="F39" s="28"/>
      <c r="G39" s="28"/>
      <c r="H39" s="28"/>
      <c r="I39" s="28"/>
      <c r="J39" s="28"/>
    </row>
    <row r="40" spans="1:11" s="12" customFormat="1" hidden="1" x14ac:dyDescent="0.2">
      <c r="A40" s="15" t="str">
        <f>IF(Allgemein!C71=0,"",Allgemein!C71)</f>
        <v/>
      </c>
      <c r="B40" s="28"/>
      <c r="C40" s="28"/>
      <c r="D40" s="28"/>
      <c r="E40" s="104"/>
      <c r="F40" s="28"/>
      <c r="G40" s="28"/>
      <c r="H40" s="28"/>
      <c r="I40" s="28"/>
      <c r="J40" s="28"/>
    </row>
    <row r="41" spans="1:11" s="12" customFormat="1" ht="11.45" hidden="1" customHeight="1" x14ac:dyDescent="0.2">
      <c r="A41" s="15" t="str">
        <f>IF(Allgemein!C72=0,"",Allgemein!C72)</f>
        <v/>
      </c>
      <c r="B41" s="28"/>
      <c r="C41" s="28"/>
      <c r="D41" s="28"/>
      <c r="E41" s="104"/>
      <c r="F41" s="28"/>
      <c r="G41" s="28"/>
      <c r="H41" s="28"/>
      <c r="I41" s="28"/>
      <c r="J41" s="28"/>
    </row>
    <row r="42" spans="1:11" s="12" customFormat="1" ht="11.45" hidden="1" customHeight="1" x14ac:dyDescent="0.2">
      <c r="A42" s="15" t="str">
        <f>IF(Allgemein!C73=0,"",Allgemein!C73)</f>
        <v/>
      </c>
      <c r="B42" s="28"/>
      <c r="C42" s="28"/>
      <c r="D42" s="28"/>
      <c r="E42" s="104"/>
      <c r="F42" s="28"/>
      <c r="G42" s="28"/>
      <c r="H42" s="28"/>
      <c r="I42" s="28"/>
      <c r="J42" s="28"/>
    </row>
    <row r="43" spans="1:11" s="12" customFormat="1" ht="11.45" hidden="1" customHeight="1" x14ac:dyDescent="0.2">
      <c r="A43" s="15" t="str">
        <f>IF(Allgemein!C74=0,"",Allgemein!C74)</f>
        <v/>
      </c>
      <c r="B43" s="28"/>
      <c r="C43" s="28"/>
      <c r="D43" s="28"/>
      <c r="E43" s="104"/>
      <c r="F43" s="28"/>
      <c r="G43" s="28"/>
      <c r="H43" s="28"/>
      <c r="I43" s="28"/>
      <c r="J43" s="28"/>
    </row>
    <row r="44" spans="1:11" s="12" customFormat="1" ht="11.45" hidden="1" customHeight="1" x14ac:dyDescent="0.2">
      <c r="A44" s="15" t="str">
        <f>IF(Allgemein!C75=0,"",Allgemein!C75)</f>
        <v/>
      </c>
      <c r="B44" s="28"/>
      <c r="C44" s="28"/>
      <c r="D44" s="28"/>
      <c r="E44" s="104"/>
      <c r="F44" s="28"/>
      <c r="G44" s="28"/>
      <c r="H44" s="28"/>
      <c r="I44" s="28"/>
      <c r="J44" s="28"/>
    </row>
    <row r="45" spans="1:11" s="12" customFormat="1" ht="11.45" hidden="1" customHeight="1" x14ac:dyDescent="0.2">
      <c r="A45" s="15" t="str">
        <f>IF(Allgemein!C76=0,"",Allgemein!C76)</f>
        <v/>
      </c>
      <c r="B45" s="28"/>
      <c r="C45" s="28"/>
      <c r="D45" s="28"/>
      <c r="E45" s="104"/>
      <c r="F45" s="28"/>
      <c r="G45" s="28"/>
      <c r="H45" s="28"/>
      <c r="I45" s="28"/>
      <c r="J45" s="28"/>
    </row>
    <row r="46" spans="1:11" s="12" customFormat="1" ht="11.45" hidden="1" customHeight="1" x14ac:dyDescent="0.2">
      <c r="A46" s="15" t="str">
        <f>IF(Allgemein!C77=0,"",Allgemein!C77)</f>
        <v/>
      </c>
      <c r="B46" s="28"/>
      <c r="C46" s="28"/>
      <c r="D46" s="28"/>
      <c r="E46" s="104"/>
      <c r="F46" s="28"/>
      <c r="G46" s="28"/>
      <c r="H46" s="28"/>
      <c r="I46" s="28"/>
      <c r="J46" s="28"/>
    </row>
    <row r="47" spans="1:11" s="12" customFormat="1" ht="11.45" hidden="1" customHeight="1" x14ac:dyDescent="0.2">
      <c r="A47" s="15" t="str">
        <f>IF(Allgemein!C78=0,"",Allgemein!C78)</f>
        <v/>
      </c>
      <c r="B47" s="28"/>
      <c r="C47" s="28"/>
      <c r="D47" s="28"/>
      <c r="E47" s="104"/>
      <c r="F47" s="28"/>
      <c r="G47" s="28"/>
      <c r="H47" s="28"/>
      <c r="I47" s="28"/>
      <c r="J47" s="28"/>
    </row>
    <row r="48" spans="1:11" s="12" customFormat="1" ht="11.45" hidden="1" customHeight="1" x14ac:dyDescent="0.2">
      <c r="A48" s="15" t="str">
        <f>IF(Allgemein!C79=0,"",Allgemein!C79)</f>
        <v/>
      </c>
      <c r="B48" s="28"/>
      <c r="C48" s="28"/>
      <c r="D48" s="28"/>
      <c r="E48" s="104"/>
      <c r="F48" s="28"/>
      <c r="G48" s="28"/>
      <c r="H48" s="28"/>
      <c r="I48" s="28"/>
      <c r="J48" s="28"/>
    </row>
    <row r="49" spans="1:18" s="12" customFormat="1" ht="11.45" hidden="1" customHeight="1" x14ac:dyDescent="0.2">
      <c r="A49" s="15" t="str">
        <f>IF(Allgemein!C80=0,"",Allgemein!C80)</f>
        <v/>
      </c>
      <c r="B49" s="28"/>
      <c r="C49" s="28"/>
      <c r="D49" s="28"/>
      <c r="E49" s="104"/>
      <c r="F49" s="28"/>
      <c r="G49" s="28"/>
      <c r="H49" s="28"/>
      <c r="I49" s="28"/>
      <c r="J49" s="28"/>
    </row>
    <row r="50" spans="1:18" s="12" customFormat="1" ht="11.45" hidden="1" customHeight="1" x14ac:dyDescent="0.2">
      <c r="A50" s="15" t="str">
        <f>IF(Allgemein!C81=0,"",Allgemein!C81)</f>
        <v/>
      </c>
      <c r="B50" s="28"/>
      <c r="C50" s="28"/>
      <c r="D50" s="28"/>
      <c r="E50" s="104"/>
      <c r="F50" s="28"/>
      <c r="G50" s="28"/>
      <c r="H50" s="28"/>
      <c r="I50" s="28"/>
      <c r="J50" s="28"/>
    </row>
    <row r="51" spans="1:18" s="12" customFormat="1" ht="11.45" hidden="1" customHeight="1" x14ac:dyDescent="0.2">
      <c r="A51" s="15" t="str">
        <f>IF(Allgemein!C82=0,"",Allgemein!C82)</f>
        <v/>
      </c>
      <c r="B51" s="28"/>
      <c r="C51" s="28"/>
      <c r="D51" s="28"/>
      <c r="E51" s="104"/>
      <c r="F51" s="28"/>
      <c r="G51" s="28"/>
      <c r="H51" s="28"/>
      <c r="I51" s="28"/>
      <c r="J51" s="28"/>
    </row>
    <row r="52" spans="1:18" s="12" customFormat="1" x14ac:dyDescent="0.2"/>
    <row r="53" spans="1:18" s="12" customFormat="1" ht="18" customHeight="1" x14ac:dyDescent="0.2">
      <c r="A53" s="171" t="s">
        <v>76</v>
      </c>
      <c r="B53" s="171"/>
      <c r="C53" s="171"/>
      <c r="D53" s="171"/>
      <c r="E53" s="171"/>
      <c r="F53" s="171"/>
      <c r="G53" s="171"/>
      <c r="H53" s="171"/>
      <c r="I53" s="171"/>
      <c r="J53" s="171"/>
      <c r="K53" s="171"/>
      <c r="L53" s="171"/>
      <c r="M53" s="171"/>
      <c r="N53" s="171"/>
      <c r="O53" s="171"/>
      <c r="P53" s="171"/>
      <c r="Q53" s="171"/>
      <c r="R53" s="171"/>
    </row>
    <row r="54" spans="1:18" s="12" customFormat="1" ht="18" customHeight="1" x14ac:dyDescent="0.2">
      <c r="K54" s="172"/>
      <c r="L54" s="172"/>
      <c r="M54" s="172"/>
      <c r="N54" s="172"/>
      <c r="O54" s="172"/>
      <c r="P54" s="172"/>
      <c r="Q54" s="172"/>
      <c r="R54" s="172"/>
    </row>
    <row r="55" spans="1:18" s="12" customFormat="1" ht="24" hidden="1" x14ac:dyDescent="0.2">
      <c r="A55" s="74" t="s">
        <v>55</v>
      </c>
      <c r="B55" s="82" t="s">
        <v>63</v>
      </c>
      <c r="C55" s="153" t="s">
        <v>77</v>
      </c>
      <c r="D55" s="154"/>
      <c r="E55" s="155"/>
      <c r="F55" s="74"/>
      <c r="G55" s="153" t="s">
        <v>78</v>
      </c>
      <c r="H55" s="154"/>
      <c r="I55" s="154"/>
      <c r="J55" s="155"/>
      <c r="K55" s="74" t="str">
        <f>B151</f>
        <v>≤ 1 d</v>
      </c>
      <c r="L55" s="74" t="str">
        <f t="shared" ref="L55:R55" si="0">C151</f>
        <v>≤ 3 d</v>
      </c>
      <c r="M55" s="74" t="str">
        <f t="shared" si="0"/>
        <v>≤ 7 d</v>
      </c>
      <c r="N55" s="74" t="str">
        <f t="shared" si="0"/>
        <v>≤ 7 d</v>
      </c>
      <c r="O55" s="74" t="str">
        <f t="shared" si="0"/>
        <v>≤ 14 d</v>
      </c>
      <c r="P55" s="74">
        <f t="shared" si="0"/>
        <v>0</v>
      </c>
      <c r="Q55" s="74" t="str">
        <f t="shared" si="0"/>
        <v/>
      </c>
      <c r="R55" s="74" t="str">
        <f t="shared" si="0"/>
        <v/>
      </c>
    </row>
    <row r="56" spans="1:18" s="12" customFormat="1" hidden="1" x14ac:dyDescent="0.2">
      <c r="A56" s="15" t="str">
        <f>IF(Allgemein!F43=0,"",Allgemein!F43)</f>
        <v>Technische Universität Berlin</v>
      </c>
      <c r="B56" s="28"/>
      <c r="C56" s="163"/>
      <c r="D56" s="164"/>
      <c r="E56" s="165"/>
      <c r="F56" s="28"/>
      <c r="G56" s="163"/>
      <c r="H56" s="164"/>
      <c r="I56" s="164"/>
      <c r="J56" s="165"/>
      <c r="K56" s="77"/>
      <c r="L56" s="77"/>
      <c r="M56" s="77"/>
      <c r="N56" s="77"/>
      <c r="O56" s="77"/>
      <c r="P56" s="77"/>
      <c r="Q56" s="77"/>
      <c r="R56" s="77"/>
    </row>
    <row r="57" spans="1:18" s="12" customFormat="1" ht="12" hidden="1" customHeight="1" x14ac:dyDescent="0.2">
      <c r="A57" s="15" t="str">
        <f>IF(Allgemein!F44=0,"",Allgemein!F44)</f>
        <v>Deutsches Luft- und Raumfahrtzentrum</v>
      </c>
      <c r="B57" s="28"/>
      <c r="C57" s="163"/>
      <c r="D57" s="164"/>
      <c r="E57" s="165"/>
      <c r="F57" s="28"/>
      <c r="G57" s="163"/>
      <c r="H57" s="164"/>
      <c r="I57" s="164"/>
      <c r="J57" s="165"/>
      <c r="K57" s="77"/>
      <c r="L57" s="77"/>
      <c r="M57" s="77"/>
      <c r="N57" s="77"/>
      <c r="O57" s="77"/>
      <c r="P57" s="77"/>
      <c r="Q57" s="77"/>
      <c r="R57" s="77"/>
    </row>
    <row r="58" spans="1:18" s="12" customFormat="1" ht="24" hidden="1" x14ac:dyDescent="0.2">
      <c r="A58" s="15" t="str">
        <f>IF(Allgemein!F45=0,"",Allgemein!F45)</f>
        <v>Deutsches Zentrum für Satelliten-Kommunikation</v>
      </c>
      <c r="B58" s="28"/>
      <c r="C58" s="163"/>
      <c r="D58" s="164"/>
      <c r="E58" s="165"/>
      <c r="F58" s="28"/>
      <c r="G58" s="163"/>
      <c r="H58" s="164"/>
      <c r="I58" s="164"/>
      <c r="J58" s="165"/>
      <c r="K58" s="77"/>
      <c r="L58" s="77"/>
      <c r="M58" s="77"/>
      <c r="N58" s="77"/>
      <c r="O58" s="77"/>
      <c r="P58" s="77"/>
      <c r="Q58" s="77"/>
      <c r="R58" s="77"/>
    </row>
    <row r="59" spans="1:18" s="12" customFormat="1" hidden="1" x14ac:dyDescent="0.2">
      <c r="A59" s="15" t="str">
        <f>IF(Allgemein!F46=0,"",Allgemein!F46)</f>
        <v>bdew/Vattenfall</v>
      </c>
      <c r="B59" s="28"/>
      <c r="C59" s="163"/>
      <c r="D59" s="164"/>
      <c r="E59" s="165"/>
      <c r="F59" s="28"/>
      <c r="G59" s="163"/>
      <c r="H59" s="164"/>
      <c r="I59" s="164"/>
      <c r="J59" s="165"/>
      <c r="K59" s="77"/>
      <c r="L59" s="77"/>
      <c r="M59" s="77"/>
      <c r="N59" s="77"/>
      <c r="O59" s="77"/>
      <c r="P59" s="77"/>
      <c r="Q59" s="77"/>
      <c r="R59" s="77"/>
    </row>
    <row r="60" spans="1:18" s="12" customFormat="1" ht="12" hidden="1" customHeight="1" x14ac:dyDescent="0.2">
      <c r="A60" s="15" t="str">
        <f>IF(Allgemein!F47=0,"",Allgemein!F47)</f>
        <v>Ruhr-Universität Bochum</v>
      </c>
      <c r="B60" s="28"/>
      <c r="C60" s="163"/>
      <c r="D60" s="164"/>
      <c r="E60" s="165"/>
      <c r="F60" s="28"/>
      <c r="G60" s="163"/>
      <c r="H60" s="164"/>
      <c r="I60" s="164"/>
      <c r="J60" s="165"/>
      <c r="K60" s="77"/>
      <c r="L60" s="77"/>
      <c r="M60" s="77"/>
      <c r="N60" s="77"/>
      <c r="O60" s="77"/>
      <c r="P60" s="77"/>
      <c r="Q60" s="77"/>
      <c r="R60" s="77"/>
    </row>
    <row r="61" spans="1:18" s="12" customFormat="1" hidden="1" x14ac:dyDescent="0.2">
      <c r="A61" s="15" t="str">
        <f>IF(Allgemein!F48=0,"",Allgemein!F48)</f>
        <v>QuantiCor</v>
      </c>
      <c r="B61" s="28"/>
      <c r="C61" s="163"/>
      <c r="D61" s="164"/>
      <c r="E61" s="165"/>
      <c r="F61" s="28"/>
      <c r="G61" s="163"/>
      <c r="H61" s="164"/>
      <c r="I61" s="164"/>
      <c r="J61" s="165"/>
      <c r="K61" s="77"/>
      <c r="L61" s="77"/>
      <c r="M61" s="77"/>
      <c r="N61" s="77"/>
      <c r="O61" s="77"/>
      <c r="P61" s="77"/>
      <c r="Q61" s="77"/>
      <c r="R61" s="77"/>
    </row>
    <row r="62" spans="1:18" s="12" customFormat="1" hidden="1" x14ac:dyDescent="0.2">
      <c r="A62" s="15" t="str">
        <f>IF(Allgemein!F49=0,"",Allgemein!F49)</f>
        <v>Berlin Nanosatellite Alliance</v>
      </c>
      <c r="B62" s="28"/>
      <c r="C62" s="163"/>
      <c r="D62" s="164"/>
      <c r="E62" s="165"/>
      <c r="F62" s="28"/>
      <c r="G62" s="163"/>
      <c r="H62" s="164"/>
      <c r="I62" s="164"/>
      <c r="J62" s="165"/>
      <c r="K62" s="77"/>
      <c r="L62" s="77"/>
      <c r="M62" s="77"/>
      <c r="N62" s="77"/>
      <c r="O62" s="77"/>
      <c r="P62" s="77"/>
      <c r="Q62" s="77"/>
      <c r="R62" s="77"/>
    </row>
    <row r="63" spans="1:18" s="12" customFormat="1" ht="12" hidden="1" customHeight="1" x14ac:dyDescent="0.2">
      <c r="A63" s="15" t="str">
        <f>IF(Allgemein!F50=0,"",Allgemein!F50)</f>
        <v/>
      </c>
      <c r="B63" s="28"/>
      <c r="C63" s="163"/>
      <c r="D63" s="164"/>
      <c r="E63" s="165"/>
      <c r="F63" s="28"/>
      <c r="G63" s="163"/>
      <c r="H63" s="164"/>
      <c r="I63" s="164"/>
      <c r="J63" s="165"/>
      <c r="K63" s="77"/>
      <c r="L63" s="77"/>
      <c r="M63" s="77"/>
      <c r="N63" s="77"/>
      <c r="O63" s="77"/>
      <c r="P63" s="77"/>
      <c r="Q63" s="77"/>
      <c r="R63" s="77"/>
    </row>
    <row r="64" spans="1:18" s="12" customFormat="1" hidden="1" x14ac:dyDescent="0.2">
      <c r="A64" s="15" t="str">
        <f>IF(Allgemein!F51=0,"",Allgemein!F51)</f>
        <v/>
      </c>
      <c r="B64" s="28"/>
      <c r="C64" s="163"/>
      <c r="D64" s="164"/>
      <c r="E64" s="165"/>
      <c r="F64" s="28"/>
      <c r="G64" s="163"/>
      <c r="H64" s="164"/>
      <c r="I64" s="164"/>
      <c r="J64" s="165"/>
      <c r="K64" s="77"/>
      <c r="L64" s="77"/>
      <c r="M64" s="77"/>
      <c r="N64" s="77"/>
      <c r="O64" s="77"/>
      <c r="P64" s="77"/>
      <c r="Q64" s="77"/>
      <c r="R64" s="77"/>
    </row>
    <row r="65" spans="1:18" s="12" customFormat="1" hidden="1" x14ac:dyDescent="0.2">
      <c r="A65" s="15" t="str">
        <f>IF(Allgemein!F52=0,"",Allgemein!F52)</f>
        <v/>
      </c>
      <c r="B65" s="28"/>
      <c r="C65" s="163"/>
      <c r="D65" s="164"/>
      <c r="E65" s="165"/>
      <c r="F65" s="28"/>
      <c r="G65" s="163"/>
      <c r="H65" s="164"/>
      <c r="I65" s="164"/>
      <c r="J65" s="165"/>
      <c r="K65" s="77"/>
      <c r="L65" s="77"/>
      <c r="M65" s="77"/>
      <c r="N65" s="77"/>
      <c r="O65" s="77"/>
      <c r="P65" s="77"/>
      <c r="Q65" s="77"/>
      <c r="R65" s="77"/>
    </row>
    <row r="66" spans="1:18" s="12" customFormat="1" hidden="1" x14ac:dyDescent="0.2">
      <c r="A66" s="15" t="str">
        <f>IF(Allgemein!F53=0,"",Allgemein!F53)</f>
        <v/>
      </c>
      <c r="B66" s="28"/>
      <c r="C66" s="163"/>
      <c r="D66" s="164"/>
      <c r="E66" s="165"/>
      <c r="F66" s="28"/>
      <c r="G66" s="163"/>
      <c r="H66" s="164"/>
      <c r="I66" s="164"/>
      <c r="J66" s="165"/>
      <c r="K66" s="77"/>
      <c r="L66" s="77"/>
      <c r="M66" s="77"/>
      <c r="N66" s="77"/>
      <c r="O66" s="77"/>
      <c r="P66" s="77"/>
      <c r="Q66" s="77"/>
      <c r="R66" s="77"/>
    </row>
    <row r="67" spans="1:18" s="12" customFormat="1" hidden="1" x14ac:dyDescent="0.2">
      <c r="A67" s="15" t="str">
        <f>IF(Allgemein!F54=0,"",Allgemein!F54)</f>
        <v/>
      </c>
      <c r="B67" s="28"/>
      <c r="C67" s="163"/>
      <c r="D67" s="164"/>
      <c r="E67" s="165"/>
      <c r="F67" s="28"/>
      <c r="G67" s="163"/>
      <c r="H67" s="164"/>
      <c r="I67" s="164"/>
      <c r="J67" s="165"/>
      <c r="K67" s="77"/>
      <c r="L67" s="77"/>
      <c r="M67" s="77"/>
      <c r="N67" s="77"/>
      <c r="O67" s="77"/>
      <c r="P67" s="77"/>
      <c r="Q67" s="77"/>
      <c r="R67" s="77"/>
    </row>
    <row r="68" spans="1:18" s="12" customFormat="1" hidden="1" x14ac:dyDescent="0.2">
      <c r="A68" s="15" t="str">
        <f>IF(Allgemein!F55=0,"",Allgemein!F55)</f>
        <v/>
      </c>
      <c r="B68" s="28"/>
      <c r="C68" s="163"/>
      <c r="D68" s="164"/>
      <c r="E68" s="165"/>
      <c r="F68" s="28"/>
      <c r="G68" s="163"/>
      <c r="H68" s="164"/>
      <c r="I68" s="164"/>
      <c r="J68" s="165"/>
      <c r="K68" s="77"/>
      <c r="L68" s="77"/>
      <c r="M68" s="77"/>
      <c r="N68" s="77"/>
      <c r="O68" s="77"/>
      <c r="P68" s="77"/>
      <c r="Q68" s="77"/>
      <c r="R68" s="77"/>
    </row>
    <row r="69" spans="1:18" s="12" customFormat="1" hidden="1" x14ac:dyDescent="0.2">
      <c r="A69" s="15" t="str">
        <f>IF(Allgemein!F56=0,"",Allgemein!F56)</f>
        <v/>
      </c>
      <c r="B69" s="28"/>
      <c r="C69" s="163"/>
      <c r="D69" s="164"/>
      <c r="E69" s="165"/>
      <c r="F69" s="28"/>
      <c r="G69" s="163"/>
      <c r="H69" s="164"/>
      <c r="I69" s="164"/>
      <c r="J69" s="165"/>
      <c r="K69" s="77"/>
      <c r="L69" s="77"/>
      <c r="M69" s="77"/>
      <c r="N69" s="77"/>
      <c r="O69" s="77"/>
      <c r="P69" s="77"/>
      <c r="Q69" s="77"/>
      <c r="R69" s="77"/>
    </row>
    <row r="70" spans="1:18" s="12" customFormat="1" hidden="1" x14ac:dyDescent="0.2">
      <c r="A70" s="15" t="str">
        <f>IF(Allgemein!F57=0,"",Allgemein!F57)</f>
        <v/>
      </c>
      <c r="B70" s="28"/>
      <c r="C70" s="163"/>
      <c r="D70" s="164"/>
      <c r="E70" s="165"/>
      <c r="F70" s="28"/>
      <c r="G70" s="163"/>
      <c r="H70" s="164"/>
      <c r="I70" s="164"/>
      <c r="J70" s="165"/>
      <c r="K70" s="77"/>
      <c r="L70" s="77"/>
      <c r="M70" s="77"/>
      <c r="N70" s="77"/>
      <c r="O70" s="77"/>
      <c r="P70" s="77"/>
      <c r="Q70" s="77"/>
      <c r="R70" s="77"/>
    </row>
    <row r="71" spans="1:18" s="12" customFormat="1" hidden="1" x14ac:dyDescent="0.2">
      <c r="A71" s="15" t="str">
        <f>IF(Allgemein!F58=0,"",Allgemein!F58)</f>
        <v/>
      </c>
      <c r="B71" s="28"/>
      <c r="C71" s="163"/>
      <c r="D71" s="164"/>
      <c r="E71" s="165"/>
      <c r="F71" s="28"/>
      <c r="G71" s="163"/>
      <c r="H71" s="164"/>
      <c r="I71" s="164"/>
      <c r="J71" s="165"/>
      <c r="K71" s="77"/>
      <c r="L71" s="77"/>
      <c r="M71" s="77"/>
      <c r="N71" s="77"/>
      <c r="O71" s="77"/>
      <c r="P71" s="77"/>
      <c r="Q71" s="77"/>
      <c r="R71" s="77"/>
    </row>
    <row r="72" spans="1:18" s="12" customFormat="1" hidden="1" x14ac:dyDescent="0.2">
      <c r="A72" s="15" t="str">
        <f>IF(Allgemein!F59=0,"",Allgemein!F59)</f>
        <v/>
      </c>
      <c r="B72" s="28"/>
      <c r="C72" s="163"/>
      <c r="D72" s="164"/>
      <c r="E72" s="165"/>
      <c r="F72" s="28"/>
      <c r="G72" s="163"/>
      <c r="H72" s="164"/>
      <c r="I72" s="164"/>
      <c r="J72" s="165"/>
      <c r="K72" s="77"/>
      <c r="L72" s="77"/>
      <c r="M72" s="77"/>
      <c r="N72" s="77"/>
      <c r="O72" s="77"/>
      <c r="P72" s="77"/>
      <c r="Q72" s="77"/>
      <c r="R72" s="77"/>
    </row>
    <row r="73" spans="1:18" s="12" customFormat="1" hidden="1" x14ac:dyDescent="0.2">
      <c r="A73" s="15" t="str">
        <f>IF(Allgemein!F60=0,"",Allgemein!F60)</f>
        <v/>
      </c>
      <c r="B73" s="28"/>
      <c r="C73" s="163"/>
      <c r="D73" s="164"/>
      <c r="E73" s="165"/>
      <c r="F73" s="28"/>
      <c r="G73" s="163"/>
      <c r="H73" s="164"/>
      <c r="I73" s="164"/>
      <c r="J73" s="165"/>
      <c r="K73" s="77"/>
      <c r="L73" s="77"/>
      <c r="M73" s="77"/>
      <c r="N73" s="77"/>
      <c r="O73" s="77"/>
      <c r="P73" s="77"/>
      <c r="Q73" s="77"/>
      <c r="R73" s="77"/>
    </row>
    <row r="74" spans="1:18" s="12" customFormat="1" hidden="1" x14ac:dyDescent="0.2">
      <c r="A74" s="15" t="str">
        <f>IF(Allgemein!F61=0,"",Allgemein!F61)</f>
        <v/>
      </c>
      <c r="B74" s="28"/>
      <c r="C74" s="163"/>
      <c r="D74" s="164"/>
      <c r="E74" s="165"/>
      <c r="F74" s="28"/>
      <c r="G74" s="163"/>
      <c r="H74" s="164"/>
      <c r="I74" s="164"/>
      <c r="J74" s="165"/>
      <c r="K74" s="77"/>
      <c r="L74" s="77"/>
      <c r="M74" s="77"/>
      <c r="N74" s="77"/>
      <c r="O74" s="77"/>
      <c r="P74" s="77"/>
      <c r="Q74" s="77"/>
      <c r="R74" s="77"/>
    </row>
    <row r="75" spans="1:18" s="12" customFormat="1" hidden="1" x14ac:dyDescent="0.2">
      <c r="A75" s="15" t="str">
        <f>IF(Allgemein!F62=0,"",Allgemein!F62)</f>
        <v/>
      </c>
      <c r="B75" s="28"/>
      <c r="C75" s="163"/>
      <c r="D75" s="164"/>
      <c r="E75" s="165"/>
      <c r="F75" s="28"/>
      <c r="G75" s="163"/>
      <c r="H75" s="164"/>
      <c r="I75" s="164"/>
      <c r="J75" s="165"/>
      <c r="K75" s="77"/>
      <c r="L75" s="77"/>
      <c r="M75" s="77"/>
      <c r="N75" s="77"/>
      <c r="O75" s="77"/>
      <c r="P75" s="77"/>
      <c r="Q75" s="77"/>
      <c r="R75" s="77"/>
    </row>
    <row r="76" spans="1:18" s="12" customFormat="1" hidden="1" x14ac:dyDescent="0.2"/>
    <row r="77" spans="1:18" s="12" customFormat="1" ht="24" hidden="1" customHeight="1" x14ac:dyDescent="0.2">
      <c r="A77" s="74" t="s">
        <v>58</v>
      </c>
      <c r="B77" s="82" t="s">
        <v>63</v>
      </c>
      <c r="C77" s="74" t="s">
        <v>69</v>
      </c>
      <c r="E77" s="153" t="s">
        <v>79</v>
      </c>
      <c r="F77" s="155"/>
      <c r="G77" s="74" t="s">
        <v>63</v>
      </c>
      <c r="H77" s="74" t="s">
        <v>69</v>
      </c>
    </row>
    <row r="78" spans="1:18" s="12" customFormat="1" hidden="1" x14ac:dyDescent="0.2">
      <c r="A78" s="22" t="str">
        <f>IF(Allgemein!P43=0,"",Allgemein!P43)</f>
        <v/>
      </c>
      <c r="B78" s="27"/>
      <c r="C78" s="28"/>
      <c r="E78" s="163" t="str">
        <f>IF(Allgemein!N43=0,"",Allgemein!N43)</f>
        <v>Mobiler Arbeitsplatz</v>
      </c>
      <c r="F78" s="165"/>
      <c r="G78" s="28"/>
      <c r="H78" s="28"/>
    </row>
    <row r="79" spans="1:18" s="12" customFormat="1" hidden="1" x14ac:dyDescent="0.2">
      <c r="A79" s="22" t="str">
        <f>IF(Allgemein!P44=0,"",Allgemein!P44)</f>
        <v/>
      </c>
      <c r="B79" s="27"/>
      <c r="C79" s="28"/>
      <c r="E79" s="163" t="str">
        <f>IF(Allgemein!N44=0,"",Allgemein!N44)</f>
        <v>Scanner (Dokument)</v>
      </c>
      <c r="F79" s="165"/>
      <c r="G79" s="28"/>
      <c r="H79" s="28"/>
    </row>
    <row r="80" spans="1:18" s="12" customFormat="1" ht="12" hidden="1" customHeight="1" x14ac:dyDescent="0.2">
      <c r="A80" s="22" t="str">
        <f>IF(Allgemein!P45=0,"",Allgemein!P45)</f>
        <v/>
      </c>
      <c r="B80" s="27"/>
      <c r="C80" s="28"/>
      <c r="E80" s="163" t="str">
        <f>IF(Allgemein!N45=0,"",Allgemein!N45)</f>
        <v>Drucker (normal)</v>
      </c>
      <c r="F80" s="165"/>
      <c r="G80" s="28"/>
      <c r="H80" s="28"/>
    </row>
    <row r="81" spans="1:8" s="12" customFormat="1" ht="12" hidden="1" customHeight="1" x14ac:dyDescent="0.2">
      <c r="A81" s="22" t="str">
        <f>IF(Allgemein!P46=0,"",Allgemein!P46)</f>
        <v/>
      </c>
      <c r="B81" s="27"/>
      <c r="C81" s="28"/>
      <c r="E81" s="163" t="str">
        <f>IF(Allgemein!N46=0,"",Allgemein!N46)</f>
        <v>Laptop</v>
      </c>
      <c r="F81" s="165"/>
      <c r="G81" s="28"/>
      <c r="H81" s="28"/>
    </row>
    <row r="82" spans="1:8" s="12" customFormat="1" ht="12" hidden="1" customHeight="1" x14ac:dyDescent="0.2">
      <c r="A82" s="22" t="str">
        <f>IF(Allgemein!P47=0,"",Allgemein!P47)</f>
        <v/>
      </c>
      <c r="B82" s="27"/>
      <c r="C82" s="28"/>
      <c r="E82" s="163" t="str">
        <f>IF(Allgemein!N47=0,"",Allgemein!N47)</f>
        <v>Router/Switch</v>
      </c>
      <c r="F82" s="165"/>
      <c r="G82" s="28"/>
      <c r="H82" s="28"/>
    </row>
    <row r="83" spans="1:8" s="12" customFormat="1" ht="12" hidden="1" customHeight="1" x14ac:dyDescent="0.2">
      <c r="A83" s="22" t="str">
        <f>IF(Allgemein!P48=0,"",Allgemein!P48)</f>
        <v/>
      </c>
      <c r="B83" s="27"/>
      <c r="C83" s="28"/>
      <c r="E83" s="163" t="str">
        <f>IF(Allgemein!N48=0,"",Allgemein!N48)</f>
        <v/>
      </c>
      <c r="F83" s="165"/>
      <c r="G83" s="28"/>
      <c r="H83" s="28"/>
    </row>
    <row r="84" spans="1:8" s="12" customFormat="1" hidden="1" x14ac:dyDescent="0.2">
      <c r="A84" s="22" t="str">
        <f>IF(Allgemein!P49=0,"",Allgemein!P49)</f>
        <v/>
      </c>
      <c r="B84" s="27"/>
      <c r="C84" s="28"/>
      <c r="E84" s="163" t="str">
        <f>IF(Allgemein!N49=0,"",Allgemein!N49)</f>
        <v/>
      </c>
      <c r="F84" s="165"/>
      <c r="G84" s="28"/>
      <c r="H84" s="28"/>
    </row>
    <row r="85" spans="1:8" s="12" customFormat="1" hidden="1" x14ac:dyDescent="0.2">
      <c r="A85" s="22" t="str">
        <f>IF(Allgemein!P50=0,"",Allgemein!P50)</f>
        <v/>
      </c>
      <c r="B85" s="27"/>
      <c r="C85" s="28"/>
      <c r="E85" s="163" t="str">
        <f>IF(Allgemein!N50=0,"",Allgemein!N50)</f>
        <v/>
      </c>
      <c r="F85" s="165"/>
      <c r="G85" s="28"/>
      <c r="H85" s="28"/>
    </row>
    <row r="86" spans="1:8" s="12" customFormat="1" hidden="1" x14ac:dyDescent="0.2">
      <c r="A86" s="22" t="str">
        <f>IF(Allgemein!P51=0,"",Allgemein!P51)</f>
        <v/>
      </c>
      <c r="B86" s="27"/>
      <c r="C86" s="28"/>
      <c r="E86" s="163" t="str">
        <f>IF(Allgemein!N51=0,"",Allgemein!N51)</f>
        <v/>
      </c>
      <c r="F86" s="165"/>
      <c r="G86" s="28"/>
      <c r="H86" s="28"/>
    </row>
    <row r="87" spans="1:8" s="12" customFormat="1" hidden="1" x14ac:dyDescent="0.2">
      <c r="A87" s="22" t="str">
        <f>IF(Allgemein!P52=0,"",Allgemein!P52)</f>
        <v/>
      </c>
      <c r="B87" s="27"/>
      <c r="C87" s="28"/>
      <c r="E87" s="163" t="str">
        <f>IF(Allgemein!N52=0,"",Allgemein!N52)</f>
        <v/>
      </c>
      <c r="F87" s="165"/>
      <c r="G87" s="28"/>
      <c r="H87" s="28"/>
    </row>
    <row r="88" spans="1:8" s="12" customFormat="1" hidden="1" x14ac:dyDescent="0.2">
      <c r="A88" s="22" t="str">
        <f>IF(Allgemein!P53=0,"",Allgemein!P53)</f>
        <v/>
      </c>
      <c r="B88" s="27"/>
      <c r="C88" s="28"/>
      <c r="E88" s="163" t="str">
        <f>IF(Allgemein!N53=0,"",Allgemein!N53)</f>
        <v/>
      </c>
      <c r="F88" s="165"/>
      <c r="G88" s="28"/>
      <c r="H88" s="28"/>
    </row>
    <row r="89" spans="1:8" s="12" customFormat="1" hidden="1" x14ac:dyDescent="0.2">
      <c r="A89" s="22" t="str">
        <f>IF(Allgemein!P54=0,"",Allgemein!P54)</f>
        <v/>
      </c>
      <c r="B89" s="27"/>
      <c r="C89" s="28"/>
      <c r="E89" s="163" t="str">
        <f>IF(Allgemein!N54=0,"",Allgemein!N54)</f>
        <v/>
      </c>
      <c r="F89" s="165"/>
      <c r="G89" s="28"/>
      <c r="H89" s="28"/>
    </row>
    <row r="90" spans="1:8" s="12" customFormat="1" hidden="1" x14ac:dyDescent="0.2">
      <c r="A90" s="22" t="str">
        <f>IF(Allgemein!P55=0,"",Allgemein!P55)</f>
        <v/>
      </c>
      <c r="B90" s="27"/>
      <c r="C90" s="28"/>
      <c r="E90" s="163" t="str">
        <f>IF(Allgemein!N55=0,"",Allgemein!N55)</f>
        <v/>
      </c>
      <c r="F90" s="165"/>
      <c r="G90" s="28"/>
      <c r="H90" s="28"/>
    </row>
    <row r="91" spans="1:8" s="12" customFormat="1" hidden="1" x14ac:dyDescent="0.2">
      <c r="A91" s="22" t="str">
        <f>IF(Allgemein!P56=0,"",Allgemein!P56)</f>
        <v/>
      </c>
      <c r="B91" s="27"/>
      <c r="C91" s="28"/>
      <c r="E91" s="163" t="str">
        <f>IF(Allgemein!N56=0,"",Allgemein!N56)</f>
        <v/>
      </c>
      <c r="F91" s="165"/>
      <c r="G91" s="28"/>
      <c r="H91" s="28"/>
    </row>
    <row r="92" spans="1:8" s="12" customFormat="1" hidden="1" x14ac:dyDescent="0.2">
      <c r="A92" s="22" t="str">
        <f>IF(Allgemein!P57=0,"",Allgemein!P57)</f>
        <v/>
      </c>
      <c r="B92" s="27"/>
      <c r="C92" s="28"/>
      <c r="E92" s="163" t="str">
        <f>IF(Allgemein!N57=0,"",Allgemein!N57)</f>
        <v/>
      </c>
      <c r="F92" s="165"/>
      <c r="G92" s="28"/>
      <c r="H92" s="28"/>
    </row>
    <row r="93" spans="1:8" s="12" customFormat="1" hidden="1" x14ac:dyDescent="0.2">
      <c r="A93" s="22" t="str">
        <f>IF(Allgemein!P58=0,"",Allgemein!P58)</f>
        <v/>
      </c>
      <c r="B93" s="27"/>
      <c r="C93" s="28"/>
      <c r="E93" s="163" t="str">
        <f>IF(Allgemein!N58=0,"",Allgemein!N58)</f>
        <v/>
      </c>
      <c r="F93" s="165"/>
      <c r="G93" s="28"/>
      <c r="H93" s="28"/>
    </row>
    <row r="94" spans="1:8" s="12" customFormat="1" hidden="1" x14ac:dyDescent="0.2">
      <c r="A94" s="22" t="str">
        <f>IF(Allgemein!P59=0,"",Allgemein!P59)</f>
        <v/>
      </c>
      <c r="B94" s="27"/>
      <c r="C94" s="28"/>
      <c r="E94" s="163" t="str">
        <f>IF(Allgemein!N59=0,"",Allgemein!N59)</f>
        <v/>
      </c>
      <c r="F94" s="165"/>
      <c r="G94" s="28"/>
      <c r="H94" s="28"/>
    </row>
    <row r="95" spans="1:8" s="12" customFormat="1" hidden="1" x14ac:dyDescent="0.2">
      <c r="A95" s="22" t="str">
        <f>IF(Allgemein!P60=0,"",Allgemein!P60)</f>
        <v/>
      </c>
      <c r="B95" s="27"/>
      <c r="C95" s="28"/>
      <c r="E95" s="163" t="str">
        <f>IF(Allgemein!N60=0,"",Allgemein!N60)</f>
        <v/>
      </c>
      <c r="F95" s="165"/>
      <c r="G95" s="28"/>
      <c r="H95" s="28"/>
    </row>
    <row r="96" spans="1:8" s="12" customFormat="1" hidden="1" x14ac:dyDescent="0.2">
      <c r="A96" s="22" t="str">
        <f>IF(Allgemein!P61=0,"",Allgemein!P61)</f>
        <v/>
      </c>
      <c r="B96" s="27"/>
      <c r="C96" s="28"/>
      <c r="E96" s="163" t="str">
        <f>IF(Allgemein!N61=0,"",Allgemein!N61)</f>
        <v/>
      </c>
      <c r="F96" s="165"/>
      <c r="G96" s="28"/>
      <c r="H96" s="28"/>
    </row>
    <row r="97" spans="1:43" s="12" customFormat="1" hidden="1" x14ac:dyDescent="0.2">
      <c r="A97" s="22" t="str">
        <f>IF(Allgemein!P62=0,"",Allgemein!P62)</f>
        <v/>
      </c>
      <c r="B97" s="27"/>
      <c r="C97" s="28"/>
      <c r="E97" s="163" t="str">
        <f>IF(Allgemein!N62=0,"",Allgemein!N62)</f>
        <v/>
      </c>
      <c r="F97" s="165"/>
      <c r="G97" s="28"/>
      <c r="H97" s="28"/>
    </row>
    <row r="98" spans="1:43" s="12" customFormat="1" hidden="1" x14ac:dyDescent="0.2">
      <c r="A98" s="22" t="str">
        <f>IF(Allgemein!P63=0,"",Allgemein!P63)</f>
        <v/>
      </c>
      <c r="B98" s="27"/>
      <c r="C98" s="28"/>
      <c r="E98" s="163" t="str">
        <f>IF(Allgemein!N63=0,"",Allgemein!N63)</f>
        <v/>
      </c>
      <c r="F98" s="165"/>
      <c r="G98" s="28"/>
      <c r="H98" s="28"/>
    </row>
    <row r="99" spans="1:43" s="12" customFormat="1" hidden="1" x14ac:dyDescent="0.2">
      <c r="A99" s="22" t="str">
        <f>IF(Allgemein!P64=0,"",Allgemein!P64)</f>
        <v/>
      </c>
      <c r="B99" s="27"/>
      <c r="C99" s="28"/>
      <c r="E99" s="163" t="str">
        <f>IF(Allgemein!N64=0,"",Allgemein!N64)</f>
        <v/>
      </c>
      <c r="F99" s="165"/>
      <c r="G99" s="28"/>
      <c r="H99" s="28"/>
    </row>
    <row r="100" spans="1:43" s="12" customFormat="1" hidden="1" x14ac:dyDescent="0.2">
      <c r="A100" s="22" t="str">
        <f>IF(Allgemein!P65=0,"",Allgemein!P65)</f>
        <v/>
      </c>
      <c r="B100" s="27"/>
      <c r="C100" s="28"/>
      <c r="E100" s="163" t="str">
        <f>IF(Allgemein!N65=0,"",Allgemein!N65)</f>
        <v/>
      </c>
      <c r="F100" s="165"/>
      <c r="G100" s="28"/>
      <c r="H100" s="28"/>
    </row>
    <row r="101" spans="1:43" s="12" customFormat="1" hidden="1" x14ac:dyDescent="0.2">
      <c r="A101" s="22" t="str">
        <f>IF(Allgemein!P66=0,"",Allgemein!P66)</f>
        <v/>
      </c>
      <c r="B101" s="27"/>
      <c r="C101" s="28"/>
      <c r="E101" s="163" t="str">
        <f>IF(Allgemein!N66=0,"",Allgemein!N66)</f>
        <v/>
      </c>
      <c r="F101" s="165"/>
      <c r="G101" s="28"/>
      <c r="H101" s="28"/>
    </row>
    <row r="102" spans="1:43" s="12" customFormat="1" hidden="1" x14ac:dyDescent="0.2">
      <c r="A102" s="22" t="str">
        <f>IF(Allgemein!P67=0,"",Allgemein!P67)</f>
        <v/>
      </c>
      <c r="B102" s="27"/>
      <c r="C102" s="28"/>
      <c r="E102" s="163" t="str">
        <f>IF(Allgemein!N67=0,"",Allgemein!N67)</f>
        <v/>
      </c>
      <c r="F102" s="165"/>
      <c r="G102" s="28"/>
      <c r="H102" s="28"/>
    </row>
    <row r="103" spans="1:43" s="12" customFormat="1" hidden="1" x14ac:dyDescent="0.2">
      <c r="A103" s="22" t="str">
        <f>IF(Allgemein!P68=0,"",Allgemein!P68)</f>
        <v/>
      </c>
      <c r="B103" s="27"/>
      <c r="C103" s="28"/>
      <c r="E103" s="163" t="str">
        <f>IF(Allgemein!N68=0,"",Allgemein!N68)</f>
        <v/>
      </c>
      <c r="F103" s="165"/>
      <c r="G103" s="28"/>
      <c r="H103" s="28"/>
    </row>
    <row r="104" spans="1:43" s="12" customFormat="1" hidden="1" x14ac:dyDescent="0.2">
      <c r="A104" s="13"/>
      <c r="B104" s="13"/>
      <c r="C104" s="13"/>
    </row>
    <row r="105" spans="1:43" s="12" customFormat="1" ht="107.1" customHeight="1" x14ac:dyDescent="0.2">
      <c r="A105" s="153" t="s">
        <v>80</v>
      </c>
      <c r="B105" s="155"/>
      <c r="C105" s="74"/>
      <c r="D105" s="34" t="str">
        <f>Allgemein!C43</f>
        <v>Arbeitsergebnisse</v>
      </c>
      <c r="E105" s="34" t="s">
        <v>363</v>
      </c>
      <c r="F105" s="34" t="str">
        <f>Allgemein!C44</f>
        <v>Projektdokumentation</v>
      </c>
      <c r="G105" s="34" t="str">
        <f>Allgemein!C45</f>
        <v>IT-System- und Dokumentenmanagement</v>
      </c>
      <c r="H105" s="34" t="str">
        <f>Allgemein!C46</f>
        <v>Altprojektdatenbank</v>
      </c>
      <c r="I105" s="34" t="str">
        <f>Allgemein!C47</f>
        <v>Projektfeinplanung (Arbeitspakete - Git Tickets)</v>
      </c>
      <c r="J105" s="34" t="str">
        <f>Allgemein!C48</f>
        <v>Projektgrobplanung</v>
      </c>
      <c r="K105" s="34" t="str">
        <f>Allgemein!C49</f>
        <v>Rechnungsmanagement</v>
      </c>
      <c r="L105" s="34" t="str">
        <f>Allgemein!C50</f>
        <v>Projektbasierte Risikoanalyse</v>
      </c>
      <c r="M105" s="34" t="str">
        <f>Allgemein!C51</f>
        <v>Wiki Wissensdatenbank</v>
      </c>
      <c r="N105" s="34" t="str">
        <f>Allgemein!C52</f>
        <v>Source Code</v>
      </c>
      <c r="O105" s="34" t="str">
        <f>Allgemein!C53</f>
        <v>Missionsdaten</v>
      </c>
      <c r="P105" s="34" t="str">
        <f>Allgemein!C54</f>
        <v>Schlüsselmaterial Mission</v>
      </c>
      <c r="Q105" s="34">
        <f>Allgemein!C56</f>
        <v>0</v>
      </c>
      <c r="R105" s="34">
        <f>Allgemein!C57</f>
        <v>0</v>
      </c>
      <c r="S105" s="34">
        <f>Allgemein!C58</f>
        <v>0</v>
      </c>
      <c r="T105" s="34">
        <f>Allgemein!C59</f>
        <v>0</v>
      </c>
      <c r="U105" s="34">
        <f>Allgemein!C60</f>
        <v>0</v>
      </c>
      <c r="V105" s="34">
        <f>Allgemein!C61</f>
        <v>0</v>
      </c>
      <c r="W105" s="34">
        <f>Allgemein!C62</f>
        <v>0</v>
      </c>
      <c r="X105" s="34">
        <f>Allgemein!C63</f>
        <v>0</v>
      </c>
      <c r="Y105" s="34">
        <f>Allgemein!C64</f>
        <v>0</v>
      </c>
      <c r="Z105" s="34">
        <f>Allgemein!C65</f>
        <v>0</v>
      </c>
      <c r="AA105" s="34">
        <f>Allgemein!C66</f>
        <v>0</v>
      </c>
      <c r="AB105" s="34">
        <f>Allgemein!C67</f>
        <v>0</v>
      </c>
      <c r="AC105" s="34">
        <f>Allgemein!C68</f>
        <v>0</v>
      </c>
      <c r="AD105" s="34">
        <f>Allgemein!C69</f>
        <v>0</v>
      </c>
      <c r="AE105" s="34">
        <f>Allgemein!C70</f>
        <v>0</v>
      </c>
      <c r="AF105" s="34">
        <f>Allgemein!C71</f>
        <v>0</v>
      </c>
      <c r="AG105" s="34">
        <f>Allgemein!C72</f>
        <v>0</v>
      </c>
      <c r="AH105" s="34">
        <f>Allgemein!C73</f>
        <v>0</v>
      </c>
      <c r="AI105" s="34">
        <f>Allgemein!C74</f>
        <v>0</v>
      </c>
      <c r="AJ105" s="34">
        <f>Allgemein!C75</f>
        <v>0</v>
      </c>
      <c r="AK105" s="34">
        <f>Allgemein!C76</f>
        <v>0</v>
      </c>
      <c r="AL105" s="34">
        <f>Allgemein!C77</f>
        <v>0</v>
      </c>
      <c r="AM105" s="34">
        <f>Allgemein!C78</f>
        <v>0</v>
      </c>
      <c r="AN105" s="34">
        <f>Allgemein!C79</f>
        <v>0</v>
      </c>
      <c r="AO105" s="34">
        <f>Allgemein!C80</f>
        <v>0</v>
      </c>
      <c r="AP105" s="34">
        <f>Allgemein!C81</f>
        <v>0</v>
      </c>
      <c r="AQ105" s="34">
        <f>Allgemein!C82</f>
        <v>0</v>
      </c>
    </row>
    <row r="106" spans="1:43" s="12" customFormat="1" x14ac:dyDescent="0.2">
      <c r="A106" s="173" t="s">
        <v>277</v>
      </c>
      <c r="B106" s="173"/>
      <c r="C106" s="84"/>
      <c r="D106" s="115" t="s">
        <v>357</v>
      </c>
      <c r="E106" s="35"/>
      <c r="F106" s="115" t="s">
        <v>357</v>
      </c>
      <c r="G106" s="104"/>
      <c r="H106" s="116"/>
      <c r="I106" s="35"/>
      <c r="J106" s="104"/>
      <c r="K106" s="104"/>
      <c r="L106" s="104"/>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row>
    <row r="107" spans="1:43" s="12" customFormat="1" x14ac:dyDescent="0.2">
      <c r="A107" s="12" t="s">
        <v>352</v>
      </c>
      <c r="C107" s="84"/>
      <c r="D107" s="115" t="s">
        <v>357</v>
      </c>
      <c r="E107" s="35"/>
      <c r="F107" s="35"/>
      <c r="G107" s="104"/>
      <c r="H107" s="28"/>
      <c r="I107" s="35"/>
      <c r="J107" s="104"/>
      <c r="K107" s="104"/>
      <c r="L107" s="104"/>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row>
    <row r="108" spans="1:43" s="12" customFormat="1" x14ac:dyDescent="0.2">
      <c r="A108" s="173" t="s">
        <v>278</v>
      </c>
      <c r="B108" s="173"/>
      <c r="C108" s="85"/>
      <c r="D108" s="115" t="s">
        <v>357</v>
      </c>
      <c r="E108" s="35"/>
      <c r="F108" s="35"/>
      <c r="G108" s="104"/>
      <c r="H108" s="28"/>
      <c r="I108" s="115" t="s">
        <v>357</v>
      </c>
      <c r="J108" s="104"/>
      <c r="K108" s="104"/>
      <c r="L108" s="104"/>
      <c r="M108" s="35"/>
      <c r="N108" s="115" t="s">
        <v>357</v>
      </c>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row>
    <row r="109" spans="1:43" s="12" customFormat="1" x14ac:dyDescent="0.2">
      <c r="A109" s="173" t="s">
        <v>279</v>
      </c>
      <c r="B109" s="173"/>
      <c r="C109" s="84"/>
      <c r="D109" s="115" t="s">
        <v>357</v>
      </c>
      <c r="E109" s="35"/>
      <c r="F109" s="35"/>
      <c r="G109" s="104"/>
      <c r="H109" s="28"/>
      <c r="I109" s="115" t="s">
        <v>357</v>
      </c>
      <c r="J109" s="104"/>
      <c r="K109" s="104"/>
      <c r="L109" s="104"/>
      <c r="M109" s="35"/>
      <c r="N109" s="115" t="s">
        <v>357</v>
      </c>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row>
    <row r="110" spans="1:43" s="12" customFormat="1" x14ac:dyDescent="0.2">
      <c r="A110" s="173" t="s">
        <v>280</v>
      </c>
      <c r="B110" s="173"/>
      <c r="C110" s="84"/>
      <c r="D110" s="115" t="s">
        <v>357</v>
      </c>
      <c r="E110" s="35"/>
      <c r="F110" s="115" t="s">
        <v>357</v>
      </c>
      <c r="G110" s="104"/>
      <c r="H110" s="115" t="s">
        <v>357</v>
      </c>
      <c r="I110" s="115" t="s">
        <v>357</v>
      </c>
      <c r="J110" s="104"/>
      <c r="K110" s="104"/>
      <c r="L110" s="104"/>
      <c r="M110" s="115" t="s">
        <v>357</v>
      </c>
      <c r="N110" s="115" t="s">
        <v>357</v>
      </c>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row>
    <row r="111" spans="1:43" s="12" customFormat="1" x14ac:dyDescent="0.2">
      <c r="A111" s="173" t="s">
        <v>281</v>
      </c>
      <c r="B111" s="173"/>
      <c r="C111" s="84"/>
      <c r="D111" s="115" t="s">
        <v>357</v>
      </c>
      <c r="E111" s="35"/>
      <c r="F111" s="115" t="s">
        <v>357</v>
      </c>
      <c r="G111" s="104"/>
      <c r="H111" s="115" t="s">
        <v>357</v>
      </c>
      <c r="I111" s="115" t="s">
        <v>357</v>
      </c>
      <c r="J111" s="104"/>
      <c r="K111" s="104"/>
      <c r="L111" s="104"/>
      <c r="M111" s="115" t="s">
        <v>357</v>
      </c>
      <c r="N111" s="115" t="s">
        <v>357</v>
      </c>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row>
    <row r="112" spans="1:43" s="12" customFormat="1" x14ac:dyDescent="0.2">
      <c r="A112" s="84" t="s">
        <v>282</v>
      </c>
      <c r="B112" s="84"/>
      <c r="C112" s="84"/>
      <c r="D112" s="115" t="s">
        <v>357</v>
      </c>
      <c r="E112" s="35"/>
      <c r="F112" s="35"/>
      <c r="G112" s="104"/>
      <c r="H112" s="35"/>
      <c r="I112" s="35"/>
      <c r="J112" s="104"/>
      <c r="K112" s="104"/>
      <c r="L112" s="104"/>
      <c r="M112" s="35"/>
      <c r="N112" s="115" t="s">
        <v>357</v>
      </c>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row>
    <row r="113" spans="1:43" s="12" customFormat="1" x14ac:dyDescent="0.2">
      <c r="A113" s="84" t="s">
        <v>283</v>
      </c>
      <c r="B113" s="84"/>
      <c r="C113" s="84"/>
      <c r="D113" s="115" t="s">
        <v>357</v>
      </c>
      <c r="E113" s="35"/>
      <c r="F113" s="35"/>
      <c r="G113" s="104"/>
      <c r="H113" s="35"/>
      <c r="I113" s="35"/>
      <c r="J113" s="104"/>
      <c r="K113" s="104"/>
      <c r="L113" s="104"/>
      <c r="M113" s="35"/>
      <c r="N113" s="115" t="s">
        <v>357</v>
      </c>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row>
    <row r="114" spans="1:43" s="12" customFormat="1" x14ac:dyDescent="0.2">
      <c r="A114" s="84" t="s">
        <v>285</v>
      </c>
      <c r="B114" s="84"/>
      <c r="C114" s="84"/>
      <c r="D114" s="115" t="s">
        <v>357</v>
      </c>
      <c r="E114" s="35"/>
      <c r="F114" s="115" t="s">
        <v>357</v>
      </c>
      <c r="G114" s="104"/>
      <c r="H114" s="35"/>
      <c r="I114" s="115" t="s">
        <v>357</v>
      </c>
      <c r="J114" s="104"/>
      <c r="K114" s="104"/>
      <c r="L114" s="104"/>
      <c r="M114" s="35"/>
      <c r="N114" s="115" t="s">
        <v>357</v>
      </c>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row>
    <row r="115" spans="1:43" s="12" customFormat="1" x14ac:dyDescent="0.2">
      <c r="A115" s="84" t="s">
        <v>287</v>
      </c>
      <c r="B115" s="84"/>
      <c r="C115" s="84"/>
      <c r="D115" s="115" t="s">
        <v>357</v>
      </c>
      <c r="E115" s="35"/>
      <c r="F115" s="35"/>
      <c r="G115" s="104"/>
      <c r="H115" s="35"/>
      <c r="I115" s="35"/>
      <c r="J115" s="104"/>
      <c r="K115" s="104"/>
      <c r="L115" s="104"/>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row>
    <row r="116" spans="1:43" s="12" customFormat="1" x14ac:dyDescent="0.2">
      <c r="A116" s="84" t="s">
        <v>288</v>
      </c>
      <c r="B116" s="84"/>
      <c r="C116" s="84"/>
      <c r="D116" s="115" t="s">
        <v>357</v>
      </c>
      <c r="E116" s="35"/>
      <c r="F116" s="35"/>
      <c r="G116" s="104"/>
      <c r="H116" s="35"/>
      <c r="I116" s="35"/>
      <c r="J116" s="104"/>
      <c r="K116" s="104"/>
      <c r="L116" s="104"/>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row>
    <row r="117" spans="1:43" s="12" customFormat="1" x14ac:dyDescent="0.2">
      <c r="A117" s="84" t="s">
        <v>290</v>
      </c>
      <c r="B117" s="84"/>
      <c r="C117" s="84"/>
      <c r="D117" s="115" t="s">
        <v>357</v>
      </c>
      <c r="E117" s="35"/>
      <c r="F117" s="35"/>
      <c r="G117" s="104"/>
      <c r="H117" s="35"/>
      <c r="I117" s="35"/>
      <c r="J117" s="104"/>
      <c r="K117" s="104"/>
      <c r="L117" s="104"/>
      <c r="M117" s="35"/>
      <c r="N117" s="115" t="s">
        <v>357</v>
      </c>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row>
    <row r="118" spans="1:43" s="12" customFormat="1" x14ac:dyDescent="0.2">
      <c r="A118" s="84" t="s">
        <v>292</v>
      </c>
      <c r="B118" s="84"/>
      <c r="C118" s="84"/>
      <c r="D118" s="115" t="s">
        <v>357</v>
      </c>
      <c r="E118" s="35"/>
      <c r="F118" s="35"/>
      <c r="G118" s="104"/>
      <c r="H118" s="35"/>
      <c r="I118" s="35"/>
      <c r="J118" s="104"/>
      <c r="K118" s="104"/>
      <c r="L118" s="104"/>
      <c r="M118" s="35"/>
      <c r="N118" s="115" t="s">
        <v>357</v>
      </c>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row>
    <row r="119" spans="1:43" s="12" customFormat="1" x14ac:dyDescent="0.2">
      <c r="A119" s="84" t="s">
        <v>293</v>
      </c>
      <c r="B119" s="84"/>
      <c r="C119" s="84"/>
      <c r="D119" s="115" t="s">
        <v>357</v>
      </c>
      <c r="E119" s="35"/>
      <c r="F119" s="35"/>
      <c r="G119" s="104"/>
      <c r="H119" s="35"/>
      <c r="I119" s="35"/>
      <c r="J119" s="104"/>
      <c r="K119" s="104"/>
      <c r="L119" s="104"/>
      <c r="M119" s="35"/>
      <c r="N119" s="115" t="s">
        <v>357</v>
      </c>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row>
    <row r="120" spans="1:43" s="12" customFormat="1" x14ac:dyDescent="0.2">
      <c r="A120" s="84" t="s">
        <v>294</v>
      </c>
      <c r="B120" s="84"/>
      <c r="C120" s="84"/>
      <c r="D120" s="115" t="s">
        <v>357</v>
      </c>
      <c r="E120" s="35"/>
      <c r="F120" s="35"/>
      <c r="G120" s="104"/>
      <c r="H120" s="35"/>
      <c r="I120" s="35"/>
      <c r="J120" s="104"/>
      <c r="K120" s="104"/>
      <c r="L120" s="104"/>
      <c r="M120" s="35"/>
      <c r="N120" s="115" t="s">
        <v>357</v>
      </c>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row>
    <row r="121" spans="1:43" s="12" customFormat="1" x14ac:dyDescent="0.2">
      <c r="A121" s="84" t="s">
        <v>295</v>
      </c>
      <c r="B121" s="84"/>
      <c r="C121" s="84"/>
      <c r="D121" s="115" t="s">
        <v>357</v>
      </c>
      <c r="E121" s="35"/>
      <c r="F121" s="35"/>
      <c r="G121" s="104"/>
      <c r="H121" s="35"/>
      <c r="I121" s="35"/>
      <c r="J121" s="104"/>
      <c r="K121" s="104"/>
      <c r="L121" s="104"/>
      <c r="M121" s="35"/>
      <c r="N121" s="115" t="s">
        <v>357</v>
      </c>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row>
    <row r="122" spans="1:43" s="12" customFormat="1" x14ac:dyDescent="0.2">
      <c r="A122" s="84" t="s">
        <v>296</v>
      </c>
      <c r="B122" s="84"/>
      <c r="C122" s="84"/>
      <c r="D122" s="115" t="s">
        <v>357</v>
      </c>
      <c r="E122" s="35"/>
      <c r="F122" s="35"/>
      <c r="G122" s="104"/>
      <c r="H122" s="35"/>
      <c r="I122" s="35"/>
      <c r="J122" s="104"/>
      <c r="K122" s="104"/>
      <c r="L122" s="104"/>
      <c r="M122" s="35"/>
      <c r="N122" s="115" t="s">
        <v>357</v>
      </c>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row>
    <row r="123" spans="1:43" s="12" customFormat="1" x14ac:dyDescent="0.2">
      <c r="A123" s="84" t="s">
        <v>297</v>
      </c>
      <c r="B123" s="84"/>
      <c r="C123" s="84"/>
      <c r="D123" s="115" t="s">
        <v>357</v>
      </c>
      <c r="E123" s="35"/>
      <c r="F123" s="35"/>
      <c r="G123" s="104"/>
      <c r="H123" s="35"/>
      <c r="I123" s="35"/>
      <c r="J123" s="104"/>
      <c r="K123" s="104"/>
      <c r="L123" s="104"/>
      <c r="M123" s="35"/>
      <c r="N123" s="115" t="s">
        <v>357</v>
      </c>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row>
    <row r="124" spans="1:43" s="12" customFormat="1" x14ac:dyDescent="0.2">
      <c r="A124" s="84" t="s">
        <v>298</v>
      </c>
      <c r="B124" s="84"/>
      <c r="C124" s="85"/>
      <c r="D124" s="115" t="s">
        <v>357</v>
      </c>
      <c r="E124" s="35"/>
      <c r="F124" s="35"/>
      <c r="G124" s="104"/>
      <c r="H124" s="35"/>
      <c r="I124" s="35"/>
      <c r="J124" s="104"/>
      <c r="K124" s="104"/>
      <c r="L124" s="104"/>
      <c r="M124" s="35"/>
      <c r="N124" s="115" t="s">
        <v>357</v>
      </c>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row>
    <row r="125" spans="1:43" s="12" customFormat="1" x14ac:dyDescent="0.2">
      <c r="A125" s="84" t="s">
        <v>299</v>
      </c>
      <c r="B125" s="84"/>
      <c r="C125" s="84"/>
      <c r="D125" s="115" t="s">
        <v>357</v>
      </c>
      <c r="E125" s="35"/>
      <c r="F125" s="35"/>
      <c r="G125" s="104"/>
      <c r="H125" s="35"/>
      <c r="I125" s="35"/>
      <c r="J125" s="104"/>
      <c r="K125" s="104"/>
      <c r="L125" s="104"/>
      <c r="M125" s="35"/>
      <c r="N125" s="115" t="s">
        <v>357</v>
      </c>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row>
    <row r="126" spans="1:43" s="12" customFormat="1" x14ac:dyDescent="0.2">
      <c r="A126" s="84" t="s">
        <v>273</v>
      </c>
      <c r="B126" s="84"/>
      <c r="C126" s="84"/>
      <c r="D126" s="35"/>
      <c r="E126" s="35"/>
      <c r="F126" s="115" t="s">
        <v>357</v>
      </c>
      <c r="G126" s="104"/>
      <c r="H126" s="115" t="s">
        <v>357</v>
      </c>
      <c r="I126" s="35"/>
      <c r="J126" s="104"/>
      <c r="K126" s="104"/>
      <c r="L126" s="104"/>
      <c r="M126" s="115" t="s">
        <v>357</v>
      </c>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row>
    <row r="127" spans="1:43" s="12" customFormat="1" x14ac:dyDescent="0.2">
      <c r="A127" s="84" t="s">
        <v>274</v>
      </c>
      <c r="B127" s="84"/>
      <c r="C127" s="84"/>
      <c r="D127" s="35"/>
      <c r="E127" s="35"/>
      <c r="F127" s="115" t="s">
        <v>357</v>
      </c>
      <c r="G127" s="104"/>
      <c r="H127" s="115" t="s">
        <v>357</v>
      </c>
      <c r="I127" s="35"/>
      <c r="J127" s="104"/>
      <c r="K127" s="104"/>
      <c r="L127" s="104"/>
      <c r="M127" s="115" t="s">
        <v>357</v>
      </c>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row>
    <row r="128" spans="1:43" s="12" customFormat="1" x14ac:dyDescent="0.2">
      <c r="A128" s="84" t="s">
        <v>369</v>
      </c>
      <c r="B128" s="84"/>
      <c r="C128" s="84"/>
      <c r="D128" s="115" t="s">
        <v>357</v>
      </c>
      <c r="E128" s="35"/>
      <c r="F128" s="115" t="s">
        <v>357</v>
      </c>
      <c r="G128" s="104"/>
      <c r="H128" s="35"/>
      <c r="I128" s="35"/>
      <c r="J128" s="104"/>
      <c r="K128" s="104"/>
      <c r="L128" s="104"/>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row>
    <row r="129" spans="1:43" s="12" customFormat="1" x14ac:dyDescent="0.2">
      <c r="A129" s="84" t="s">
        <v>371</v>
      </c>
      <c r="B129" s="84"/>
      <c r="C129" s="84"/>
      <c r="D129" s="35"/>
      <c r="E129" s="35"/>
      <c r="F129" s="115" t="s">
        <v>357</v>
      </c>
      <c r="G129" s="104"/>
      <c r="H129" s="35"/>
      <c r="I129" s="35"/>
      <c r="J129" s="104"/>
      <c r="K129" s="104"/>
      <c r="L129" s="104"/>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row>
    <row r="130" spans="1:43" s="12" customFormat="1" x14ac:dyDescent="0.2">
      <c r="A130" s="84"/>
      <c r="B130" s="84"/>
      <c r="C130" s="84"/>
      <c r="D130" s="35"/>
      <c r="E130" s="35"/>
      <c r="F130" s="35"/>
      <c r="G130" s="104"/>
      <c r="H130" s="35"/>
      <c r="I130" s="35"/>
      <c r="J130" s="104"/>
      <c r="K130" s="104"/>
      <c r="L130" s="104"/>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row>
    <row r="131" spans="1:43" s="12" customFormat="1" x14ac:dyDescent="0.2">
      <c r="A131" s="84"/>
      <c r="B131" s="84"/>
      <c r="C131" s="84"/>
      <c r="D131" s="35"/>
      <c r="E131" s="35"/>
      <c r="F131" s="35"/>
      <c r="G131" s="104"/>
      <c r="H131" s="35"/>
      <c r="I131" s="35"/>
      <c r="J131" s="104"/>
      <c r="K131" s="104"/>
      <c r="L131" s="104"/>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row>
    <row r="132" spans="1:43" s="12" customFormat="1" x14ac:dyDescent="0.2">
      <c r="A132" s="84"/>
      <c r="B132" s="84"/>
      <c r="C132" s="84"/>
      <c r="D132" s="35"/>
      <c r="E132" s="35"/>
      <c r="F132" s="35"/>
      <c r="G132" s="104"/>
      <c r="H132" s="35"/>
      <c r="I132" s="35"/>
      <c r="J132" s="104"/>
      <c r="K132" s="104"/>
      <c r="L132" s="104"/>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row>
    <row r="133" spans="1:43" s="12" customFormat="1" x14ac:dyDescent="0.2">
      <c r="A133" s="84"/>
      <c r="B133" s="84"/>
      <c r="C133" s="84"/>
      <c r="D133" s="35"/>
      <c r="E133" s="35"/>
      <c r="F133" s="35"/>
      <c r="G133" s="104"/>
      <c r="H133" s="35"/>
      <c r="I133" s="35"/>
      <c r="J133" s="104"/>
      <c r="K133" s="104"/>
      <c r="L133" s="104"/>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row>
    <row r="134" spans="1:43" s="12" customFormat="1" x14ac:dyDescent="0.2">
      <c r="A134" s="84"/>
      <c r="B134" s="84"/>
      <c r="C134" s="84"/>
      <c r="D134" s="35"/>
      <c r="E134" s="35"/>
      <c r="F134" s="35"/>
      <c r="G134" s="104"/>
      <c r="H134" s="35"/>
      <c r="I134" s="35"/>
      <c r="J134" s="104"/>
      <c r="K134" s="104"/>
      <c r="L134" s="104"/>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row>
    <row r="135" spans="1:43" s="12" customFormat="1" x14ac:dyDescent="0.2">
      <c r="A135" s="84"/>
      <c r="B135" s="84"/>
      <c r="C135" s="84"/>
      <c r="D135" s="35"/>
      <c r="E135" s="35"/>
      <c r="F135" s="35"/>
      <c r="G135" s="104"/>
      <c r="H135" s="35"/>
      <c r="I135" s="35"/>
      <c r="J135" s="104"/>
      <c r="K135" s="104"/>
      <c r="L135" s="104"/>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row>
    <row r="136" spans="1:43" s="12" customFormat="1" x14ac:dyDescent="0.2">
      <c r="A136" s="84"/>
      <c r="B136" s="84"/>
      <c r="C136" s="84"/>
      <c r="D136" s="35"/>
      <c r="E136" s="35"/>
      <c r="F136" s="35"/>
      <c r="G136" s="104"/>
      <c r="H136" s="35"/>
      <c r="I136" s="35"/>
      <c r="J136" s="104"/>
      <c r="K136" s="104"/>
      <c r="L136" s="104"/>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row>
    <row r="137" spans="1:43" s="12" customFormat="1" x14ac:dyDescent="0.2">
      <c r="A137" s="84"/>
      <c r="B137" s="84"/>
      <c r="C137" s="84"/>
      <c r="D137" s="35"/>
      <c r="E137" s="35"/>
      <c r="F137" s="35"/>
      <c r="G137" s="104"/>
      <c r="H137" s="35"/>
      <c r="I137" s="35"/>
      <c r="J137" s="104"/>
      <c r="K137" s="104"/>
      <c r="L137" s="104"/>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row>
    <row r="138" spans="1:43" s="12" customFormat="1" x14ac:dyDescent="0.2">
      <c r="A138" s="84"/>
      <c r="B138" s="84"/>
      <c r="C138" s="84"/>
      <c r="D138" s="35"/>
      <c r="E138" s="35"/>
      <c r="F138" s="35"/>
      <c r="G138" s="104"/>
      <c r="H138" s="35"/>
      <c r="I138" s="35"/>
      <c r="J138" s="104"/>
      <c r="K138" s="104"/>
      <c r="L138" s="104"/>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row>
    <row r="139" spans="1:43" s="12" customFormat="1" x14ac:dyDescent="0.2">
      <c r="A139" s="84"/>
      <c r="B139" s="84"/>
      <c r="C139" s="84"/>
      <c r="D139" s="35"/>
      <c r="E139" s="35"/>
      <c r="F139" s="35"/>
      <c r="G139" s="104"/>
      <c r="H139" s="35"/>
      <c r="I139" s="35"/>
      <c r="J139" s="104"/>
      <c r="K139" s="104"/>
      <c r="L139" s="104"/>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row>
    <row r="140" spans="1:43" s="12" customFormat="1" x14ac:dyDescent="0.2">
      <c r="A140" s="84"/>
      <c r="B140" s="84"/>
      <c r="C140" s="84"/>
      <c r="D140" s="35"/>
      <c r="E140" s="35"/>
      <c r="F140" s="35"/>
      <c r="G140" s="104"/>
      <c r="H140" s="35"/>
      <c r="I140" s="35"/>
      <c r="J140" s="104"/>
      <c r="K140" s="104"/>
      <c r="L140" s="104"/>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row>
    <row r="141" spans="1:43" s="12" customFormat="1" x14ac:dyDescent="0.2">
      <c r="A141" s="84"/>
      <c r="B141" s="84"/>
      <c r="C141" s="84"/>
      <c r="D141" s="35"/>
      <c r="E141" s="35"/>
      <c r="F141" s="35"/>
      <c r="G141" s="104"/>
      <c r="H141" s="35"/>
      <c r="I141" s="35"/>
      <c r="J141" s="104"/>
      <c r="K141" s="104"/>
      <c r="L141" s="104"/>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row>
    <row r="142" spans="1:43" s="12" customFormat="1" x14ac:dyDescent="0.2">
      <c r="A142" s="84"/>
      <c r="B142" s="84"/>
      <c r="C142" s="84"/>
      <c r="D142" s="35"/>
      <c r="E142" s="35"/>
      <c r="F142" s="35"/>
      <c r="G142" s="104"/>
      <c r="H142" s="35"/>
      <c r="I142" s="35"/>
      <c r="J142" s="104"/>
      <c r="K142" s="104"/>
      <c r="L142" s="104"/>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row>
    <row r="143" spans="1:43" s="12" customFormat="1" x14ac:dyDescent="0.2">
      <c r="A143" s="84"/>
      <c r="B143" s="84"/>
      <c r="C143" s="84"/>
      <c r="D143" s="35"/>
      <c r="E143" s="35"/>
      <c r="F143" s="35"/>
      <c r="G143" s="104"/>
      <c r="H143" s="35"/>
      <c r="I143" s="35"/>
      <c r="J143" s="104"/>
      <c r="K143" s="104"/>
      <c r="L143" s="104"/>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row>
    <row r="144" spans="1:43" s="12" customFormat="1" x14ac:dyDescent="0.2">
      <c r="A144" s="84"/>
      <c r="B144" s="84"/>
      <c r="C144" s="84"/>
      <c r="D144" s="35"/>
      <c r="E144" s="35"/>
      <c r="F144" s="35"/>
      <c r="G144" s="104"/>
      <c r="H144" s="35"/>
      <c r="I144" s="35"/>
      <c r="J144" s="104"/>
      <c r="K144" s="104"/>
      <c r="L144" s="104"/>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row>
    <row r="145" spans="1:43" s="12" customFormat="1" x14ac:dyDescent="0.2">
      <c r="A145" s="84"/>
      <c r="B145" s="84"/>
      <c r="C145" s="84"/>
      <c r="D145" s="35"/>
      <c r="E145" s="35"/>
      <c r="F145" s="35"/>
      <c r="G145" s="104"/>
      <c r="H145" s="35"/>
      <c r="I145" s="35"/>
      <c r="J145" s="104"/>
      <c r="K145" s="104"/>
      <c r="L145" s="104"/>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row>
    <row r="146" spans="1:43" s="12" customFormat="1" x14ac:dyDescent="0.2">
      <c r="A146" s="109"/>
      <c r="B146" s="109"/>
      <c r="C146" s="109"/>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row>
    <row r="147" spans="1:43" s="12" customFormat="1" ht="18" customHeight="1" x14ac:dyDescent="0.2">
      <c r="D147" s="14"/>
      <c r="E147" s="14"/>
      <c r="F147" s="14"/>
      <c r="G147" s="14"/>
      <c r="H147" s="14"/>
      <c r="I147" s="14"/>
      <c r="J147" s="14"/>
      <c r="K147" s="14"/>
      <c r="L147" s="14"/>
      <c r="M147" s="14"/>
      <c r="N147" s="14"/>
    </row>
    <row r="148" spans="1:43" s="12" customFormat="1" ht="21" hidden="1" customHeight="1" x14ac:dyDescent="0.2">
      <c r="A148" s="168" t="s">
        <v>82</v>
      </c>
      <c r="B148" s="169"/>
      <c r="C148" s="169"/>
      <c r="D148" s="169"/>
      <c r="E148" s="169"/>
      <c r="F148" s="169"/>
      <c r="G148" s="169"/>
      <c r="H148" s="169"/>
      <c r="I148" s="169"/>
      <c r="J148" s="169"/>
      <c r="K148" s="169"/>
      <c r="L148" s="169"/>
      <c r="M148" s="170"/>
    </row>
    <row r="149" spans="1:43" s="12" customFormat="1" ht="18" hidden="1" customHeight="1" x14ac:dyDescent="0.2">
      <c r="A149" s="13"/>
      <c r="B149" s="13"/>
      <c r="C149" s="13"/>
      <c r="D149" s="13"/>
      <c r="E149" s="13"/>
      <c r="F149" s="13"/>
      <c r="G149" s="13"/>
      <c r="H149" s="13"/>
      <c r="I149" s="13"/>
      <c r="J149" s="13"/>
      <c r="L149" s="13"/>
      <c r="M149" s="13"/>
    </row>
    <row r="150" spans="1:43" s="12" customFormat="1" ht="25.5" hidden="1" customHeight="1" x14ac:dyDescent="0.2">
      <c r="A150" s="13"/>
      <c r="B150" s="156" t="s">
        <v>83</v>
      </c>
      <c r="C150" s="156"/>
      <c r="D150" s="156"/>
      <c r="E150" s="156"/>
      <c r="F150" s="156"/>
      <c r="G150" s="156"/>
      <c r="H150" s="156"/>
      <c r="I150" s="156"/>
      <c r="J150" s="13"/>
      <c r="L150" s="13"/>
      <c r="M150" s="13"/>
      <c r="O150" s="174" t="s">
        <v>84</v>
      </c>
      <c r="P150" s="174"/>
    </row>
    <row r="151" spans="1:43" s="12" customFormat="1" ht="25.5" hidden="1" customHeight="1" x14ac:dyDescent="0.2">
      <c r="A151" s="76" t="s">
        <v>85</v>
      </c>
      <c r="B151" s="110" t="s">
        <v>233</v>
      </c>
      <c r="C151" s="56" t="s">
        <v>181</v>
      </c>
      <c r="D151" s="56" t="s">
        <v>182</v>
      </c>
      <c r="E151" s="56" t="s">
        <v>182</v>
      </c>
      <c r="F151" s="56" t="s">
        <v>202</v>
      </c>
      <c r="G151" s="56"/>
      <c r="H151" s="74" t="s">
        <v>86</v>
      </c>
      <c r="I151" s="74" t="s">
        <v>86</v>
      </c>
      <c r="J151" s="56" t="s">
        <v>70</v>
      </c>
      <c r="K151" s="56" t="s">
        <v>87</v>
      </c>
      <c r="L151" s="56" t="s">
        <v>88</v>
      </c>
      <c r="M151" s="56" t="s">
        <v>89</v>
      </c>
      <c r="O151" s="61" t="s">
        <v>90</v>
      </c>
      <c r="P151" s="61" t="s">
        <v>91</v>
      </c>
    </row>
    <row r="152" spans="1:43" s="12" customFormat="1" ht="25.5" hidden="1" customHeight="1" x14ac:dyDescent="0.2">
      <c r="A152" s="57" t="s">
        <v>92</v>
      </c>
      <c r="B152" s="58"/>
      <c r="C152" s="58"/>
      <c r="D152" s="58"/>
      <c r="E152" s="58"/>
      <c r="F152" s="58"/>
      <c r="G152" s="58"/>
      <c r="H152" s="58"/>
      <c r="I152" s="58"/>
      <c r="J152" s="28"/>
      <c r="K152" s="28"/>
      <c r="L152" s="58"/>
      <c r="M152" s="58"/>
      <c r="O152" s="62" t="str">
        <f>IF(COUNT(B152:I152)='ISM Klassifizierung'!$J$14,IF(SUMPRODUCT((B152:I152&gt;=3)*(B152:I152&lt;&gt;0)*1)&gt;0,'ISM Klassifizierung'!$J$14-SUMPRODUCT((B152:I152&gt;=3)*(B152:I152&lt;&gt;0)*1),"Nein"),"Nein")</f>
        <v>Nein</v>
      </c>
      <c r="P152" s="62" t="str">
        <f>IF(M152="","",VLOOKUP(M152,'ISM Klassifizierung'!$K$4:$L$11,2,FALSE))</f>
        <v/>
      </c>
    </row>
    <row r="153" spans="1:43" s="12" customFormat="1" ht="25.5" hidden="1" customHeight="1" x14ac:dyDescent="0.2">
      <c r="A153" s="57" t="s">
        <v>93</v>
      </c>
      <c r="B153" s="58"/>
      <c r="C153" s="58"/>
      <c r="D153" s="58"/>
      <c r="E153" s="58"/>
      <c r="F153" s="58"/>
      <c r="G153" s="58"/>
      <c r="H153" s="58"/>
      <c r="I153" s="58"/>
      <c r="J153" s="28"/>
      <c r="K153" s="28"/>
      <c r="L153" s="58"/>
      <c r="M153" s="58"/>
      <c r="O153" s="62" t="str">
        <f>IF(COUNT(B153:I153)='ISM Klassifizierung'!$J$14,IF(SUMPRODUCT((B153:I153&gt;=3)*(B153:I153&lt;&gt;0)*1)&gt;0,'ISM Klassifizierung'!$J$14-SUMPRODUCT((B153:I153&gt;=3)*(B153:I153&lt;&gt;0)*1),"Nein"),"Nein")</f>
        <v>Nein</v>
      </c>
      <c r="P153" s="62" t="str">
        <f>IF(M153="","",VLOOKUP(M153,'ISM Klassifizierung'!$K$4:$L$11,2,FALSE))</f>
        <v/>
      </c>
    </row>
    <row r="154" spans="1:43" s="12" customFormat="1" ht="25.5" hidden="1" customHeight="1" x14ac:dyDescent="0.2">
      <c r="A154" s="59" t="s">
        <v>94</v>
      </c>
      <c r="B154" s="58"/>
      <c r="C154" s="58"/>
      <c r="D154" s="58"/>
      <c r="E154" s="58"/>
      <c r="F154" s="58"/>
      <c r="G154" s="58"/>
      <c r="H154" s="58"/>
      <c r="I154" s="58"/>
      <c r="J154" s="28"/>
      <c r="K154" s="28"/>
      <c r="L154" s="58"/>
      <c r="M154" s="58"/>
      <c r="O154" s="62" t="str">
        <f>IF(COUNT(B154:I154)='ISM Klassifizierung'!$J$14,IF(SUMPRODUCT((B154:I154&gt;=3)*(B154:I154&lt;&gt;0)*1)&gt;0,'ISM Klassifizierung'!$J$14-SUMPRODUCT((B154:I154&gt;=3)*(B154:I154&lt;&gt;0)*1),"Nein"),"Nein")</f>
        <v>Nein</v>
      </c>
      <c r="P154" s="62" t="str">
        <f>IF(M154="","",VLOOKUP(M154,'ISM Klassifizierung'!$K$4:$L$11,2,FALSE))</f>
        <v/>
      </c>
    </row>
    <row r="155" spans="1:43" s="12" customFormat="1" ht="25.5" hidden="1" customHeight="1" x14ac:dyDescent="0.2">
      <c r="A155" s="59" t="s">
        <v>95</v>
      </c>
      <c r="B155" s="58"/>
      <c r="C155" s="58"/>
      <c r="D155" s="58"/>
      <c r="E155" s="58"/>
      <c r="F155" s="58"/>
      <c r="G155" s="58"/>
      <c r="H155" s="58"/>
      <c r="I155" s="58"/>
      <c r="J155" s="28"/>
      <c r="K155" s="28"/>
      <c r="L155" s="58"/>
      <c r="M155" s="58"/>
      <c r="O155" s="62" t="str">
        <f>IF(COUNT(B155:I155)='ISM Klassifizierung'!$J$14,IF(SUMPRODUCT((B155:I155&gt;=3)*(B155:I155&lt;&gt;0)*1)&gt;0,'ISM Klassifizierung'!$J$14-SUMPRODUCT((B155:I155&gt;=3)*(B155:I155&lt;&gt;0)*1),"Nein"),"Nein")</f>
        <v>Nein</v>
      </c>
      <c r="P155" s="62" t="str">
        <f>IF(M155="","",VLOOKUP(M155,'ISM Klassifizierung'!$K$4:$L$11,2,FALSE))</f>
        <v/>
      </c>
    </row>
    <row r="156" spans="1:43" s="12" customFormat="1" ht="25.5" hidden="1" customHeight="1" x14ac:dyDescent="0.2">
      <c r="A156" s="13"/>
      <c r="B156" s="13"/>
      <c r="C156" s="13"/>
      <c r="D156" s="13"/>
      <c r="E156" s="13"/>
      <c r="F156" s="13"/>
      <c r="G156" s="13"/>
      <c r="H156" s="13"/>
      <c r="I156" s="13"/>
      <c r="J156" s="13"/>
      <c r="L156" s="13"/>
      <c r="M156" s="13"/>
      <c r="O156" s="63" t="str">
        <f>IF(AND(O152="Nein",O153="Nein",O154="Nein",O155="Nein"),"",MIN(O152:P155))</f>
        <v/>
      </c>
      <c r="P156" s="64"/>
    </row>
    <row r="157" spans="1:43" s="12" customFormat="1" ht="25.5" hidden="1" customHeight="1" x14ac:dyDescent="0.2">
      <c r="A157" s="13"/>
      <c r="B157" s="13"/>
      <c r="C157" s="13"/>
      <c r="D157" s="13"/>
      <c r="E157" s="13"/>
      <c r="F157" s="13"/>
      <c r="G157" s="13"/>
      <c r="H157" s="13"/>
      <c r="I157" s="13"/>
      <c r="J157" s="13"/>
      <c r="K157" s="60" t="s">
        <v>96</v>
      </c>
      <c r="L157" s="56"/>
      <c r="M157" s="13"/>
    </row>
    <row r="158" spans="1:43" s="12" customFormat="1" hidden="1" x14ac:dyDescent="0.2"/>
    <row r="159" spans="1:43" s="12" customFormat="1" hidden="1" x14ac:dyDescent="0.2"/>
    <row r="160" spans="1:43" s="12" customFormat="1" hidden="1" x14ac:dyDescent="0.2"/>
    <row r="161" s="12" customFormat="1" hidden="1" x14ac:dyDescent="0.2"/>
    <row r="162" s="12" customFormat="1" hidden="1" x14ac:dyDescent="0.2"/>
    <row r="163" s="12" customFormat="1" hidden="1" x14ac:dyDescent="0.2"/>
    <row r="164" s="12" customFormat="1" hidden="1" x14ac:dyDescent="0.2"/>
    <row r="165" s="12" customFormat="1" hidden="1" x14ac:dyDescent="0.2"/>
    <row r="166" s="12" customFormat="1" hidden="1" x14ac:dyDescent="0.2"/>
    <row r="167" s="12" customFormat="1" hidden="1" x14ac:dyDescent="0.2"/>
    <row r="168" s="12" customFormat="1" hidden="1" x14ac:dyDescent="0.2"/>
    <row r="169" s="12" customFormat="1" hidden="1" x14ac:dyDescent="0.2"/>
    <row r="170" s="12" customFormat="1" hidden="1" x14ac:dyDescent="0.2"/>
    <row r="171" s="12" customFormat="1" hidden="1" x14ac:dyDescent="0.2"/>
    <row r="172" s="12" customFormat="1" hidden="1" x14ac:dyDescent="0.2"/>
    <row r="173" s="12" customFormat="1" hidden="1" x14ac:dyDescent="0.2"/>
    <row r="174" s="12" customFormat="1" hidden="1" x14ac:dyDescent="0.2"/>
    <row r="175" s="12" customFormat="1" hidden="1" x14ac:dyDescent="0.2"/>
    <row r="176" s="12" customFormat="1" hidden="1" x14ac:dyDescent="0.2"/>
    <row r="177" s="12" customFormat="1" hidden="1" x14ac:dyDescent="0.2"/>
    <row r="178" s="12" customFormat="1" hidden="1" x14ac:dyDescent="0.2"/>
    <row r="179" s="12" customFormat="1" hidden="1" x14ac:dyDescent="0.2"/>
    <row r="180" s="12" customFormat="1" hidden="1" x14ac:dyDescent="0.2"/>
    <row r="181" s="12" customFormat="1" hidden="1" x14ac:dyDescent="0.2"/>
    <row r="182" s="12" customFormat="1" hidden="1" x14ac:dyDescent="0.2"/>
    <row r="183" s="12" customFormat="1" hidden="1" x14ac:dyDescent="0.2"/>
    <row r="184" s="12" customFormat="1" hidden="1" x14ac:dyDescent="0.2"/>
    <row r="185" s="12" customFormat="1" hidden="1" x14ac:dyDescent="0.2"/>
    <row r="186" s="12" customFormat="1" hidden="1" x14ac:dyDescent="0.2"/>
    <row r="187" s="12" customFormat="1" hidden="1" x14ac:dyDescent="0.2"/>
    <row r="188" s="12" customFormat="1" hidden="1" x14ac:dyDescent="0.2"/>
    <row r="189" s="12" customFormat="1" hidden="1" x14ac:dyDescent="0.2"/>
    <row r="190" s="12" customFormat="1" hidden="1" x14ac:dyDescent="0.2"/>
    <row r="191" s="12" customFormat="1" hidden="1" x14ac:dyDescent="0.2"/>
    <row r="192" s="12" customFormat="1" hidden="1" x14ac:dyDescent="0.2"/>
    <row r="193" s="12" customFormat="1" hidden="1" x14ac:dyDescent="0.2"/>
    <row r="194" s="12" customFormat="1" hidden="1" x14ac:dyDescent="0.2"/>
    <row r="195" s="12" customFormat="1" hidden="1" x14ac:dyDescent="0.2"/>
    <row r="196" s="12" customFormat="1" hidden="1" x14ac:dyDescent="0.2"/>
    <row r="197" s="12" customFormat="1" hidden="1" x14ac:dyDescent="0.2"/>
    <row r="198" s="12" customFormat="1" hidden="1" x14ac:dyDescent="0.2"/>
    <row r="199" s="12" customFormat="1" hidden="1" x14ac:dyDescent="0.2"/>
    <row r="200" s="12" customFormat="1" hidden="1" x14ac:dyDescent="0.2"/>
    <row r="201" s="12" customFormat="1" hidden="1" x14ac:dyDescent="0.2"/>
    <row r="202" s="12" customFormat="1" hidden="1" x14ac:dyDescent="0.2"/>
    <row r="203" s="12" customFormat="1" hidden="1" x14ac:dyDescent="0.2"/>
    <row r="204" s="12" customFormat="1" hidden="1" x14ac:dyDescent="0.2"/>
    <row r="205" s="12" customFormat="1" hidden="1" x14ac:dyDescent="0.2"/>
    <row r="206" s="12" customFormat="1" hidden="1" x14ac:dyDescent="0.2"/>
    <row r="207" s="12" customFormat="1" hidden="1" x14ac:dyDescent="0.2"/>
    <row r="208" s="12" customFormat="1" hidden="1" x14ac:dyDescent="0.2"/>
    <row r="209" s="12" customFormat="1" hidden="1" x14ac:dyDescent="0.2"/>
    <row r="210" s="12" customFormat="1" hidden="1" x14ac:dyDescent="0.2"/>
    <row r="211" s="12" customFormat="1" hidden="1" x14ac:dyDescent="0.2"/>
    <row r="212" s="12" customFormat="1" hidden="1" x14ac:dyDescent="0.2"/>
    <row r="213" s="12" customFormat="1" hidden="1" x14ac:dyDescent="0.2"/>
    <row r="214" s="12" customFormat="1" hidden="1" x14ac:dyDescent="0.2"/>
    <row r="215" s="12" customFormat="1" hidden="1" x14ac:dyDescent="0.2"/>
    <row r="216" s="12" customFormat="1" hidden="1" x14ac:dyDescent="0.2"/>
    <row r="217" s="12" customFormat="1" hidden="1" x14ac:dyDescent="0.2"/>
    <row r="218" s="12" customFormat="1" hidden="1" x14ac:dyDescent="0.2"/>
    <row r="219" s="12" customFormat="1" hidden="1" x14ac:dyDescent="0.2"/>
    <row r="220" s="12" customFormat="1" hidden="1" x14ac:dyDescent="0.2"/>
    <row r="221" s="12" customFormat="1" hidden="1" x14ac:dyDescent="0.2"/>
    <row r="222" s="12" customFormat="1" hidden="1" x14ac:dyDescent="0.2"/>
    <row r="223" s="12" customFormat="1" hidden="1" x14ac:dyDescent="0.2"/>
    <row r="224" s="12" customFormat="1" hidden="1" x14ac:dyDescent="0.2"/>
    <row r="225" s="12" customFormat="1" hidden="1" x14ac:dyDescent="0.2"/>
  </sheetData>
  <mergeCells count="88">
    <mergeCell ref="A111:B111"/>
    <mergeCell ref="A148:M148"/>
    <mergeCell ref="B150:I150"/>
    <mergeCell ref="O150:P150"/>
    <mergeCell ref="E103:F103"/>
    <mergeCell ref="A105:B105"/>
    <mergeCell ref="A106:B106"/>
    <mergeCell ref="A108:B108"/>
    <mergeCell ref="A109:B109"/>
    <mergeCell ref="A110:B110"/>
    <mergeCell ref="E102:F102"/>
    <mergeCell ref="E91:F91"/>
    <mergeCell ref="E92:F92"/>
    <mergeCell ref="E93:F93"/>
    <mergeCell ref="E94:F94"/>
    <mergeCell ref="E95:F95"/>
    <mergeCell ref="E96:F96"/>
    <mergeCell ref="E97:F97"/>
    <mergeCell ref="E98:F98"/>
    <mergeCell ref="E99:F99"/>
    <mergeCell ref="E100:F100"/>
    <mergeCell ref="E101:F101"/>
    <mergeCell ref="E90:F90"/>
    <mergeCell ref="E79:F79"/>
    <mergeCell ref="E80:F80"/>
    <mergeCell ref="E81:F81"/>
    <mergeCell ref="E82:F82"/>
    <mergeCell ref="E83:F83"/>
    <mergeCell ref="E84:F84"/>
    <mergeCell ref="E85:F85"/>
    <mergeCell ref="E86:F86"/>
    <mergeCell ref="E87:F87"/>
    <mergeCell ref="E88:F88"/>
    <mergeCell ref="E89:F89"/>
    <mergeCell ref="E78:F78"/>
    <mergeCell ref="C71:E71"/>
    <mergeCell ref="G71:J71"/>
    <mergeCell ref="C72:E72"/>
    <mergeCell ref="G72:J72"/>
    <mergeCell ref="C73:E73"/>
    <mergeCell ref="G73:J73"/>
    <mergeCell ref="C74:E74"/>
    <mergeCell ref="G74:J74"/>
    <mergeCell ref="C75:E75"/>
    <mergeCell ref="G75:J75"/>
    <mergeCell ref="E77:F77"/>
    <mergeCell ref="C68:E68"/>
    <mergeCell ref="G68:J68"/>
    <mergeCell ref="C69:E69"/>
    <mergeCell ref="G69:J69"/>
    <mergeCell ref="C70:E70"/>
    <mergeCell ref="G70:J70"/>
    <mergeCell ref="C65:E65"/>
    <mergeCell ref="G65:J65"/>
    <mergeCell ref="C66:E66"/>
    <mergeCell ref="G66:J66"/>
    <mergeCell ref="C67:E67"/>
    <mergeCell ref="G67:J67"/>
    <mergeCell ref="C62:E62"/>
    <mergeCell ref="G62:J62"/>
    <mergeCell ref="C63:E63"/>
    <mergeCell ref="G63:J63"/>
    <mergeCell ref="C64:E64"/>
    <mergeCell ref="G64:J64"/>
    <mergeCell ref="C59:E59"/>
    <mergeCell ref="G59:J59"/>
    <mergeCell ref="C60:E60"/>
    <mergeCell ref="G60:J60"/>
    <mergeCell ref="C61:E61"/>
    <mergeCell ref="G61:J61"/>
    <mergeCell ref="C56:E56"/>
    <mergeCell ref="G56:J56"/>
    <mergeCell ref="C57:E57"/>
    <mergeCell ref="G57:J57"/>
    <mergeCell ref="C58:E58"/>
    <mergeCell ref="G58:J58"/>
    <mergeCell ref="B6:F6"/>
    <mergeCell ref="A9:J9"/>
    <mergeCell ref="A53:R53"/>
    <mergeCell ref="K54:R54"/>
    <mergeCell ref="C55:E55"/>
    <mergeCell ref="G55:J55"/>
    <mergeCell ref="B5:F5"/>
    <mergeCell ref="B1:E1"/>
    <mergeCell ref="J1:K1"/>
    <mergeCell ref="B2:F2"/>
    <mergeCell ref="B3:F3"/>
    <mergeCell ref="B4:F4"/>
  </mergeCells>
  <conditionalFormatting sqref="J13:J39 J44:J51">
    <cfRule type="expression" dxfId="629" priority="127">
      <formula>$B13="nein"</formula>
    </cfRule>
  </conditionalFormatting>
  <conditionalFormatting sqref="J12 C12:I51">
    <cfRule type="expression" dxfId="628" priority="126">
      <formula>$B12="nein"</formula>
    </cfRule>
  </conditionalFormatting>
  <conditionalFormatting sqref="C16:D51 F16:F51">
    <cfRule type="expression" dxfId="627" priority="125">
      <formula>$B16="nein"</formula>
    </cfRule>
  </conditionalFormatting>
  <conditionalFormatting sqref="J40:J43">
    <cfRule type="expression" dxfId="626" priority="124">
      <formula>$B40="nein"</formula>
    </cfRule>
  </conditionalFormatting>
  <conditionalFormatting sqref="G12:I51">
    <cfRule type="expression" dxfId="625" priority="123">
      <formula>$B12="nein"</formula>
    </cfRule>
  </conditionalFormatting>
  <conditionalFormatting sqref="E12:E51">
    <cfRule type="expression" dxfId="624" priority="122">
      <formula>$B12="nein"</formula>
    </cfRule>
  </conditionalFormatting>
  <conditionalFormatting sqref="O105:O146">
    <cfRule type="expression" dxfId="623" priority="64">
      <formula>O$105=0</formula>
    </cfRule>
  </conditionalFormatting>
  <conditionalFormatting sqref="P105 P146">
    <cfRule type="expression" dxfId="622" priority="63">
      <formula>P$105=0</formula>
    </cfRule>
  </conditionalFormatting>
  <conditionalFormatting sqref="Q105:Q146">
    <cfRule type="expression" dxfId="621" priority="62">
      <formula>Q$105=0</formula>
    </cfRule>
  </conditionalFormatting>
  <conditionalFormatting sqref="R105:R146">
    <cfRule type="expression" dxfId="620" priority="61">
      <formula>R$105=0</formula>
    </cfRule>
  </conditionalFormatting>
  <conditionalFormatting sqref="S105:S146">
    <cfRule type="expression" dxfId="619" priority="60">
      <formula>S$105=0</formula>
    </cfRule>
  </conditionalFormatting>
  <conditionalFormatting sqref="T105:T146">
    <cfRule type="expression" dxfId="618" priority="59">
      <formula>T$105=0</formula>
    </cfRule>
  </conditionalFormatting>
  <conditionalFormatting sqref="U105:U146">
    <cfRule type="expression" dxfId="617" priority="58">
      <formula>U$105=0</formula>
    </cfRule>
  </conditionalFormatting>
  <conditionalFormatting sqref="V105:V146">
    <cfRule type="expression" dxfId="616" priority="57">
      <formula>V$105=0</formula>
    </cfRule>
  </conditionalFormatting>
  <conditionalFormatting sqref="W105:W146">
    <cfRule type="expression" dxfId="615" priority="56">
      <formula>W$105=0</formula>
    </cfRule>
  </conditionalFormatting>
  <conditionalFormatting sqref="X105:X146">
    <cfRule type="expression" dxfId="614" priority="55">
      <formula>X$105=0</formula>
    </cfRule>
  </conditionalFormatting>
  <conditionalFormatting sqref="Y105:Y146">
    <cfRule type="expression" dxfId="613" priority="54">
      <formula>Y$105=0</formula>
    </cfRule>
  </conditionalFormatting>
  <conditionalFormatting sqref="Z105:Z146">
    <cfRule type="expression" dxfId="612" priority="53">
      <formula>Z$105=0</formula>
    </cfRule>
  </conditionalFormatting>
  <conditionalFormatting sqref="AA105:AA146">
    <cfRule type="expression" dxfId="611" priority="52">
      <formula>AA$105=0</formula>
    </cfRule>
  </conditionalFormatting>
  <conditionalFormatting sqref="AB105:AB146">
    <cfRule type="expression" dxfId="610" priority="51">
      <formula>AB$105=0</formula>
    </cfRule>
  </conditionalFormatting>
  <conditionalFormatting sqref="AC105:AC146">
    <cfRule type="expression" dxfId="609" priority="50">
      <formula>AC$105=0</formula>
    </cfRule>
  </conditionalFormatting>
  <conditionalFormatting sqref="AD105:AD146">
    <cfRule type="expression" dxfId="608" priority="49">
      <formula>AD$105=0</formula>
    </cfRule>
  </conditionalFormatting>
  <conditionalFormatting sqref="F56:F75">
    <cfRule type="expression" dxfId="607" priority="26">
      <formula>$L$157="-"</formula>
    </cfRule>
    <cfRule type="expression" dxfId="606" priority="121">
      <formula>$B56="nein"</formula>
    </cfRule>
  </conditionalFormatting>
  <conditionalFormatting sqref="F56:F75">
    <cfRule type="expression" dxfId="605" priority="120">
      <formula>$B56="nein"</formula>
    </cfRule>
  </conditionalFormatting>
  <conditionalFormatting sqref="C78:C85">
    <cfRule type="expression" dxfId="604" priority="119">
      <formula>$B78="nein"</formula>
    </cfRule>
  </conditionalFormatting>
  <conditionalFormatting sqref="C78:C85">
    <cfRule type="expression" dxfId="603" priority="118">
      <formula>$B78="nein"</formula>
    </cfRule>
  </conditionalFormatting>
  <conditionalFormatting sqref="C86:C103">
    <cfRule type="expression" dxfId="602" priority="117">
      <formula>$B86="nein"</formula>
    </cfRule>
  </conditionalFormatting>
  <conditionalFormatting sqref="C86:C103">
    <cfRule type="expression" dxfId="601" priority="116">
      <formula>$B86="nein"</formula>
    </cfRule>
  </conditionalFormatting>
  <conditionalFormatting sqref="AE105:AE146">
    <cfRule type="expression" dxfId="600" priority="48">
      <formula>AE$105=0</formula>
    </cfRule>
  </conditionalFormatting>
  <conditionalFormatting sqref="AF105:AF146">
    <cfRule type="expression" dxfId="599" priority="47">
      <formula>AF$105=0</formula>
    </cfRule>
  </conditionalFormatting>
  <conditionalFormatting sqref="AG105:AG146">
    <cfRule type="expression" dxfId="598" priority="46">
      <formula>AG$105=0</formula>
    </cfRule>
  </conditionalFormatting>
  <conditionalFormatting sqref="AH105:AH146">
    <cfRule type="expression" dxfId="597" priority="45">
      <formula>AH$105=0</formula>
    </cfRule>
  </conditionalFormatting>
  <conditionalFormatting sqref="AI105:AI146">
    <cfRule type="expression" dxfId="596" priority="44">
      <formula>AI$105=0</formula>
    </cfRule>
  </conditionalFormatting>
  <conditionalFormatting sqref="AJ105:AJ146">
    <cfRule type="expression" dxfId="595" priority="43">
      <formula>AJ$105=0</formula>
    </cfRule>
  </conditionalFormatting>
  <conditionalFormatting sqref="AK105:AK146">
    <cfRule type="expression" dxfId="594" priority="42">
      <formula>AK$105=0</formula>
    </cfRule>
  </conditionalFormatting>
  <conditionalFormatting sqref="AL105:AL146">
    <cfRule type="expression" dxfId="593" priority="41">
      <formula>AL$105=0</formula>
    </cfRule>
  </conditionalFormatting>
  <conditionalFormatting sqref="AM105:AM146">
    <cfRule type="expression" dxfId="592" priority="40">
      <formula>AM$105=0</formula>
    </cfRule>
  </conditionalFormatting>
  <conditionalFormatting sqref="AN105:AN146">
    <cfRule type="expression" dxfId="591" priority="39">
      <formula>AN$105=0</formula>
    </cfRule>
  </conditionalFormatting>
  <conditionalFormatting sqref="AO105:AO146">
    <cfRule type="expression" dxfId="590" priority="38">
      <formula>AO$105=0</formula>
    </cfRule>
  </conditionalFormatting>
  <conditionalFormatting sqref="AP105:AP146">
    <cfRule type="expression" dxfId="589" priority="37">
      <formula>AP$105=0</formula>
    </cfRule>
  </conditionalFormatting>
  <conditionalFormatting sqref="AQ105:AQ146">
    <cfRule type="expression" dxfId="588" priority="36">
      <formula>AQ$105=0</formula>
    </cfRule>
  </conditionalFormatting>
  <conditionalFormatting sqref="O146:AQ146 O106:O145 Q106:AQ145">
    <cfRule type="cellIs" dxfId="587" priority="35" operator="equal">
      <formula>"x"</formula>
    </cfRule>
  </conditionalFormatting>
  <conditionalFormatting sqref="O106:O146">
    <cfRule type="expression" dxfId="586" priority="87" stopIfTrue="1">
      <formula>AND($A$23&lt;&gt;"",$B$23&lt;&gt;"ja")</formula>
    </cfRule>
  </conditionalFormatting>
  <conditionalFormatting sqref="P146">
    <cfRule type="expression" dxfId="585" priority="88" stopIfTrue="1">
      <formula>AND($A$24&lt;&gt;"",$B$24&lt;&gt;"ja")</formula>
    </cfRule>
  </conditionalFormatting>
  <conditionalFormatting sqref="Q106:Q146">
    <cfRule type="expression" dxfId="584" priority="89" stopIfTrue="1">
      <formula>AND($A$25&lt;&gt;"",$B$25&lt;&gt;"ja")</formula>
    </cfRule>
  </conditionalFormatting>
  <conditionalFormatting sqref="R106:R146">
    <cfRule type="expression" dxfId="583" priority="90" stopIfTrue="1">
      <formula>AND($A$26&lt;&gt;"",$B$26&lt;&gt;"ja")</formula>
    </cfRule>
  </conditionalFormatting>
  <conditionalFormatting sqref="S106:S146">
    <cfRule type="expression" dxfId="582" priority="91" stopIfTrue="1">
      <formula>AND($A$27&lt;&gt;"",$B$27&lt;&gt;"ja")</formula>
    </cfRule>
  </conditionalFormatting>
  <conditionalFormatting sqref="T106:T146">
    <cfRule type="expression" dxfId="581" priority="92" stopIfTrue="1">
      <formula>AND($A$28&lt;&gt;"",$B$28&lt;&gt;"ja")</formula>
    </cfRule>
  </conditionalFormatting>
  <conditionalFormatting sqref="U106:U146">
    <cfRule type="expression" dxfId="580" priority="93" stopIfTrue="1">
      <formula>AND($A$29&lt;&gt;"",$B$29&lt;&gt;"ja")</formula>
    </cfRule>
  </conditionalFormatting>
  <conditionalFormatting sqref="V106:V146">
    <cfRule type="expression" dxfId="579" priority="94" stopIfTrue="1">
      <formula>AND($A$30&lt;&gt;"",$B$30&lt;&gt;"ja")</formula>
    </cfRule>
  </conditionalFormatting>
  <conditionalFormatting sqref="W106:W146">
    <cfRule type="expression" dxfId="578" priority="95" stopIfTrue="1">
      <formula>AND($A$31&lt;&gt;"",$B$31&lt;&gt;"ja")</formula>
    </cfRule>
  </conditionalFormatting>
  <conditionalFormatting sqref="X106:X146">
    <cfRule type="expression" dxfId="577" priority="96" stopIfTrue="1">
      <formula>AND($A$32&lt;&gt;"",$B$32&lt;&gt;"ja")</formula>
    </cfRule>
  </conditionalFormatting>
  <conditionalFormatting sqref="Y106:Y146">
    <cfRule type="expression" dxfId="576" priority="97" stopIfTrue="1">
      <formula>AND($A$33&lt;&gt;"",$B$33&lt;&gt;"ja")</formula>
    </cfRule>
  </conditionalFormatting>
  <conditionalFormatting sqref="Z106:Z146">
    <cfRule type="expression" dxfId="575" priority="98" stopIfTrue="1">
      <formula>AND($A$34&lt;&gt;"",$B$34&lt;&gt;"ja")</formula>
    </cfRule>
  </conditionalFormatting>
  <conditionalFormatting sqref="AA106:AA146">
    <cfRule type="expression" dxfId="574" priority="99" stopIfTrue="1">
      <formula>AND($A$35&lt;&gt;"",$B$35&lt;&gt;"ja")</formula>
    </cfRule>
  </conditionalFormatting>
  <conditionalFormatting sqref="AB106:AB146">
    <cfRule type="expression" dxfId="573" priority="100" stopIfTrue="1">
      <formula>AND($A$36&lt;&gt;"",$B$36&lt;&gt;"ja")</formula>
    </cfRule>
  </conditionalFormatting>
  <conditionalFormatting sqref="AC106:AC146">
    <cfRule type="expression" dxfId="572" priority="101" stopIfTrue="1">
      <formula>AND($A$37&lt;&gt;"",$B$37&lt;&gt;"ja")</formula>
    </cfRule>
  </conditionalFormatting>
  <conditionalFormatting sqref="AD106:AD146">
    <cfRule type="expression" dxfId="571" priority="102" stopIfTrue="1">
      <formula>AND($A$38&lt;&gt;"",$B$38&lt;&gt;"ja")</formula>
    </cfRule>
  </conditionalFormatting>
  <conditionalFormatting sqref="AE106:AE146">
    <cfRule type="expression" dxfId="570" priority="103" stopIfTrue="1">
      <formula>AND($A$39&lt;&gt;"",$B$39&lt;&gt;"ja")</formula>
    </cfRule>
  </conditionalFormatting>
  <conditionalFormatting sqref="AF106:AF146">
    <cfRule type="expression" dxfId="569" priority="104" stopIfTrue="1">
      <formula>AND($A$40&lt;&gt;"",$B$40&lt;&gt;"ja")</formula>
    </cfRule>
  </conditionalFormatting>
  <conditionalFormatting sqref="AG106:AG146">
    <cfRule type="expression" dxfId="568" priority="105" stopIfTrue="1">
      <formula>AND($A$41&lt;&gt;"",$B$41&lt;&gt;"ja")</formula>
    </cfRule>
  </conditionalFormatting>
  <conditionalFormatting sqref="AH106:AH146">
    <cfRule type="expression" dxfId="567" priority="106" stopIfTrue="1">
      <formula>AND($A$42&lt;&gt;"",$B$42&lt;&gt;"ja")</formula>
    </cfRule>
  </conditionalFormatting>
  <conditionalFormatting sqref="AI106:AI146">
    <cfRule type="expression" dxfId="566" priority="107" stopIfTrue="1">
      <formula>AND($A$43&lt;&gt;"",$B$43&lt;&gt;"ja")</formula>
    </cfRule>
  </conditionalFormatting>
  <conditionalFormatting sqref="AJ106:AJ146">
    <cfRule type="expression" dxfId="565" priority="108" stopIfTrue="1">
      <formula>AND($A$44&lt;&gt;"",$B$44&lt;&gt;"ja")</formula>
    </cfRule>
  </conditionalFormatting>
  <conditionalFormatting sqref="AK106:AK146">
    <cfRule type="expression" dxfId="564" priority="109" stopIfTrue="1">
      <formula>AND($A$45&lt;&gt;"",$B$45&lt;&gt;"ja")</formula>
    </cfRule>
  </conditionalFormatting>
  <conditionalFormatting sqref="AL106:AL146">
    <cfRule type="expression" dxfId="563" priority="110" stopIfTrue="1">
      <formula>AND($A$46&lt;&gt;"",$B$46&lt;&gt;"ja")</formula>
    </cfRule>
  </conditionalFormatting>
  <conditionalFormatting sqref="AM106:AM146">
    <cfRule type="expression" dxfId="562" priority="111" stopIfTrue="1">
      <formula>AND($A$47&lt;&gt;"",$B$47&lt;&gt;"ja")</formula>
    </cfRule>
  </conditionalFormatting>
  <conditionalFormatting sqref="AN106:AN146">
    <cfRule type="expression" dxfId="561" priority="112" stopIfTrue="1">
      <formula>AND($A$48&lt;&gt;"",$B$48&lt;&gt;"ja")</formula>
    </cfRule>
  </conditionalFormatting>
  <conditionalFormatting sqref="AO106:AO146">
    <cfRule type="expression" dxfId="560" priority="113" stopIfTrue="1">
      <formula>AND($A$49&lt;&gt;"",$B$49&lt;&gt;"ja")</formula>
    </cfRule>
  </conditionalFormatting>
  <conditionalFormatting sqref="AP106:AP146">
    <cfRule type="expression" dxfId="559" priority="114" stopIfTrue="1">
      <formula>AND($A$50&lt;&gt;"",$B$50&lt;&gt;"ja")</formula>
    </cfRule>
  </conditionalFormatting>
  <conditionalFormatting sqref="AQ106:AQ146">
    <cfRule type="expression" dxfId="558" priority="115" stopIfTrue="1">
      <formula>AND($A$51&lt;&gt;"",$B$51&lt;&gt;"ja")</formula>
    </cfRule>
  </conditionalFormatting>
  <conditionalFormatting sqref="K56:K75">
    <cfRule type="expression" dxfId="557" priority="34">
      <formula>$F56&lt;&gt;"Ja"</formula>
    </cfRule>
  </conditionalFormatting>
  <conditionalFormatting sqref="L56:L75">
    <cfRule type="expression" dxfId="556" priority="33">
      <formula>$F56&lt;&gt;"Ja"</formula>
    </cfRule>
  </conditionalFormatting>
  <conditionalFormatting sqref="M56:M75">
    <cfRule type="expression" dxfId="555" priority="32">
      <formula>$F56&lt;&gt;"Ja"</formula>
    </cfRule>
  </conditionalFormatting>
  <conditionalFormatting sqref="N56:N75">
    <cfRule type="expression" dxfId="554" priority="31">
      <formula>$F56&lt;&gt;"Ja"</formula>
    </cfRule>
  </conditionalFormatting>
  <conditionalFormatting sqref="O56:O75">
    <cfRule type="expression" dxfId="553" priority="30">
      <formula>$F56&lt;&gt;"Ja"</formula>
    </cfRule>
  </conditionalFormatting>
  <conditionalFormatting sqref="P56:P75">
    <cfRule type="expression" dxfId="552" priority="29">
      <formula>$F56&lt;&gt;"Ja"</formula>
    </cfRule>
  </conditionalFormatting>
  <conditionalFormatting sqref="Q56:Q75">
    <cfRule type="expression" dxfId="551" priority="28">
      <formula>$F56&lt;&gt;"Ja"</formula>
    </cfRule>
  </conditionalFormatting>
  <conditionalFormatting sqref="R56:R75">
    <cfRule type="expression" dxfId="550" priority="27">
      <formula>$F56&lt;&gt;"Ja"</formula>
    </cfRule>
  </conditionalFormatting>
  <conditionalFormatting sqref="C78:C103">
    <cfRule type="expression" dxfId="549" priority="25">
      <formula>$L$157="-"</formula>
    </cfRule>
  </conditionalFormatting>
  <conditionalFormatting sqref="C106:C146">
    <cfRule type="expression" dxfId="548" priority="24">
      <formula>$L$157="-"</formula>
    </cfRule>
  </conditionalFormatting>
  <conditionalFormatting sqref="H78:H91">
    <cfRule type="expression" dxfId="547" priority="23">
      <formula>$B78="nein"</formula>
    </cfRule>
  </conditionalFormatting>
  <conditionalFormatting sqref="H78:H91">
    <cfRule type="expression" dxfId="546" priority="22">
      <formula>$B78="nein"</formula>
    </cfRule>
  </conditionalFormatting>
  <conditionalFormatting sqref="H86:H103">
    <cfRule type="expression" dxfId="545" priority="21">
      <formula>$B86="nein"</formula>
    </cfRule>
  </conditionalFormatting>
  <conditionalFormatting sqref="H86:H103">
    <cfRule type="expression" dxfId="544" priority="20">
      <formula>$B86="nein"</formula>
    </cfRule>
  </conditionalFormatting>
  <conditionalFormatting sqref="H78:H103">
    <cfRule type="expression" dxfId="543" priority="19">
      <formula>$L$157="-"</formula>
    </cfRule>
  </conditionalFormatting>
  <conditionalFormatting sqref="C12:D12 F12:F37">
    <cfRule type="expression" dxfId="542" priority="18">
      <formula>$B12="nein"</formula>
    </cfRule>
  </conditionalFormatting>
  <conditionalFormatting sqref="C13">
    <cfRule type="expression" dxfId="541" priority="17">
      <formula>$B13="nein"</formula>
    </cfRule>
  </conditionalFormatting>
  <conditionalFormatting sqref="C15:C37">
    <cfRule type="expression" dxfId="540" priority="16">
      <formula>$B15="nein"</formula>
    </cfRule>
  </conditionalFormatting>
  <conditionalFormatting sqref="D13:D37">
    <cfRule type="expression" dxfId="539" priority="15">
      <formula>$B13="nein"</formula>
    </cfRule>
  </conditionalFormatting>
  <conditionalFormatting sqref="F105">
    <cfRule type="expression" dxfId="538" priority="14">
      <formula>F$105=0</formula>
    </cfRule>
  </conditionalFormatting>
  <conditionalFormatting sqref="G105">
    <cfRule type="expression" dxfId="537" priority="13">
      <formula>G$105=0</formula>
    </cfRule>
  </conditionalFormatting>
  <conditionalFormatting sqref="E105">
    <cfRule type="expression" dxfId="536" priority="12">
      <formula>E$105=0</formula>
    </cfRule>
  </conditionalFormatting>
  <conditionalFormatting sqref="D105">
    <cfRule type="expression" dxfId="535" priority="11">
      <formula>D$105=0</formula>
    </cfRule>
  </conditionalFormatting>
  <conditionalFormatting sqref="H105">
    <cfRule type="expression" dxfId="534" priority="10">
      <formula>H$105=0</formula>
    </cfRule>
  </conditionalFormatting>
  <conditionalFormatting sqref="I105">
    <cfRule type="expression" dxfId="533" priority="9">
      <formula>I$105=0</formula>
    </cfRule>
  </conditionalFormatting>
  <conditionalFormatting sqref="J105">
    <cfRule type="expression" dxfId="532" priority="8">
      <formula>J$105=0</formula>
    </cfRule>
  </conditionalFormatting>
  <conditionalFormatting sqref="K105">
    <cfRule type="expression" dxfId="531" priority="7">
      <formula>K$105=0</formula>
    </cfRule>
  </conditionalFormatting>
  <conditionalFormatting sqref="L105">
    <cfRule type="expression" dxfId="530" priority="6">
      <formula>L$105=0</formula>
    </cfRule>
  </conditionalFormatting>
  <conditionalFormatting sqref="M105">
    <cfRule type="expression" dxfId="529" priority="5">
      <formula>M$105=0</formula>
    </cfRule>
  </conditionalFormatting>
  <conditionalFormatting sqref="N105">
    <cfRule type="expression" dxfId="528" priority="4">
      <formula>N$105=0</formula>
    </cfRule>
  </conditionalFormatting>
  <conditionalFormatting sqref="P106:P145">
    <cfRule type="expression" dxfId="527" priority="2">
      <formula>P$105=0</formula>
    </cfRule>
  </conditionalFormatting>
  <conditionalFormatting sqref="P106:P145">
    <cfRule type="cellIs" dxfId="526" priority="1" operator="equal">
      <formula>"x"</formula>
    </cfRule>
  </conditionalFormatting>
  <conditionalFormatting sqref="P106:P145">
    <cfRule type="expression" dxfId="525" priority="3" stopIfTrue="1">
      <formula>AND($A$23&lt;&gt;"",$B$23&lt;&gt;"ja")</formula>
    </cfRule>
  </conditionalFormatting>
  <dataValidations count="5">
    <dataValidation type="list" allowBlank="1" showInputMessage="1" showErrorMessage="1" sqref="H152:I155">
      <formula1>"1,2,3,4"</formula1>
    </dataValidation>
    <dataValidation type="list" allowBlank="1" showInputMessage="1" showErrorMessage="1" promptTitle="Mehrfachselektion möglich" prompt="Für Mehrfachselektion bitte nacheinander über Drop-Down Werte auswählen." sqref="D106:AQ146">
      <formula1>"x"</formula1>
    </dataValidation>
    <dataValidation type="list" allowBlank="1" showInputMessage="1" showErrorMessage="1" sqref="G78:G103 B56:B75 B12:B51 B78:B103">
      <formula1>"ja, nein"</formula1>
    </dataValidation>
    <dataValidation type="list" allowBlank="1" showErrorMessage="1" sqref="G12:G51">
      <formula1>"nicht personenbezogen, personenbezogen, besonders personenbezogen"</formula1>
    </dataValidation>
    <dataValidation type="list" allowBlank="1" showInputMessage="1" showErrorMessage="1" sqref="B152:G155">
      <formula1>"1,2,3"</formula1>
    </dataValidation>
  </dataValidations>
  <pageMargins left="0.7" right="0.7" top="0.78740157499999996" bottom="0.78740157499999996" header="0.3" footer="0.3"/>
  <pageSetup paperSize="9" scale="56" fitToHeight="0" orientation="landscape" r:id="rId1"/>
  <extLst>
    <ext xmlns:x14="http://schemas.microsoft.com/office/spreadsheetml/2009/9/main" uri="{CCE6A557-97BC-4b89-ADB6-D9C93CAAB3DF}">
      <x14:dataValidations xmlns:xm="http://schemas.microsoft.com/office/excel/2006/main" count="8">
        <x14:dataValidation type="list" allowBlank="1" showInputMessage="1">
          <x14:formula1>
            <xm:f>'Ressourcen DB'!$G$2:$G$3</xm:f>
          </x14:formula1>
          <xm:sqref>C106:C146</xm:sqref>
        </x14:dataValidation>
        <x14:dataValidation type="list" allowBlank="1" showInputMessage="1" showErrorMessage="1">
          <x14:formula1>
            <xm:f>'ISM Klassifizierung'!$K$4:$K$11</xm:f>
          </x14:formula1>
          <xm:sqref>M152:M155</xm:sqref>
        </x14:dataValidation>
        <x14:dataValidation type="list" allowBlank="1" showErrorMessage="1">
          <x14:formula1>
            <xm:f>'Ressourcen DB'!$G$2:$G$3</xm:f>
          </x14:formula1>
          <xm:sqref>C78:C103 F56:F75 I12:I51 H78:H103</xm:sqref>
        </x14:dataValidation>
        <x14:dataValidation type="list" allowBlank="1" showErrorMessage="1">
          <x14:formula1>
            <xm:f>'ISM Klassifizierung'!$I$4:$I$11</xm:f>
          </x14:formula1>
          <xm:sqref>H12:H51</xm:sqref>
        </x14:dataValidation>
        <x14:dataValidation type="list" allowBlank="1" showInputMessage="1" showErrorMessage="1">
          <x14:formula1>
            <xm:f>Allgemein!$I$43:$I$82</xm:f>
          </x14:formula1>
          <xm:sqref>C56:E75</xm:sqref>
        </x14:dataValidation>
        <x14:dataValidation type="list" allowBlank="1" showInputMessage="1" showErrorMessage="1">
          <x14:formula1>
            <xm:f>Allgemein!$L$43:$L$82</xm:f>
          </x14:formula1>
          <xm:sqref>G56:J75</xm:sqref>
        </x14:dataValidation>
        <x14:dataValidation type="list" allowBlank="1" showErrorMessage="1">
          <x14:formula1>
            <xm:f>'ISM Klassifizierung'!$B$10:$B$13</xm:f>
          </x14:formula1>
          <xm:sqref>C12:F51</xm:sqref>
        </x14:dataValidation>
        <x14:dataValidation type="list" allowBlank="1" showInputMessage="1">
          <x14:formula1>
            <xm:f>'Software Inventar'!$C$4:$C$128</xm:f>
          </x14:formula1>
          <xm:sqref>A106:B106 A108:B146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tabColor rgb="FF148DEA"/>
    <pageSetUpPr fitToPage="1"/>
  </sheetPr>
  <dimension ref="A1:AQ225"/>
  <sheetViews>
    <sheetView showGridLines="0" zoomScale="120" zoomScaleNormal="120" workbookViewId="0">
      <pane xSplit="1" ySplit="11" topLeftCell="B12" activePane="bottomRight" state="frozen"/>
      <selection activeCell="F13" sqref="F13:H13"/>
      <selection pane="topRight" activeCell="F13" sqref="F13:H13"/>
      <selection pane="bottomLeft" activeCell="F13" sqref="F13:H13"/>
      <selection pane="bottomRight" activeCell="L24" sqref="L24"/>
    </sheetView>
  </sheetViews>
  <sheetFormatPr baseColWidth="10" defaultColWidth="11.42578125" defaultRowHeight="12" zeroHeight="1" x14ac:dyDescent="0.2"/>
  <cols>
    <col min="1" max="1" width="36.28515625" style="13" bestFit="1" customWidth="1"/>
    <col min="2" max="4" width="13.28515625" style="13" customWidth="1"/>
    <col min="5" max="5" width="13.28515625" style="13" hidden="1" customWidth="1"/>
    <col min="6" max="6" width="13.28515625" style="13" customWidth="1"/>
    <col min="7" max="7" width="17.85546875" style="13" bestFit="1" customWidth="1"/>
    <col min="8" max="10" width="13.28515625" style="13" customWidth="1"/>
    <col min="11" max="11" width="13.28515625" style="12" customWidth="1"/>
    <col min="12" max="16" width="13.28515625" style="13" customWidth="1"/>
    <col min="17" max="44" width="20" style="13" customWidth="1"/>
    <col min="45" max="16384" width="11.42578125" style="13"/>
  </cols>
  <sheetData>
    <row r="1" spans="1:11" s="12" customFormat="1" ht="68.25" customHeight="1" x14ac:dyDescent="0.35">
      <c r="A1" s="12">
        <v>2</v>
      </c>
      <c r="B1" s="157" t="s">
        <v>367</v>
      </c>
      <c r="C1" s="157"/>
      <c r="D1" s="157"/>
      <c r="E1" s="157"/>
      <c r="F1" s="68"/>
      <c r="G1" s="68"/>
      <c r="H1" s="68"/>
      <c r="I1" s="68"/>
      <c r="J1" s="158"/>
      <c r="K1" s="158"/>
    </row>
    <row r="2" spans="1:11" s="12" customFormat="1" x14ac:dyDescent="0.2">
      <c r="A2" s="106"/>
      <c r="B2" s="159"/>
      <c r="C2" s="159"/>
      <c r="D2" s="159"/>
      <c r="E2" s="159"/>
      <c r="F2" s="159"/>
      <c r="G2" s="14"/>
      <c r="H2" s="14"/>
      <c r="I2" s="14"/>
      <c r="J2" s="14"/>
    </row>
    <row r="3" spans="1:11" s="12" customFormat="1" x14ac:dyDescent="0.2">
      <c r="A3" s="105" t="s">
        <v>228</v>
      </c>
      <c r="B3" s="160" t="s">
        <v>338</v>
      </c>
      <c r="C3" s="161"/>
      <c r="D3" s="161"/>
      <c r="E3" s="161"/>
      <c r="F3" s="162"/>
      <c r="G3" s="14"/>
      <c r="H3" s="14"/>
      <c r="I3" s="14"/>
      <c r="J3" s="14"/>
    </row>
    <row r="4" spans="1:11" s="12" customFormat="1" x14ac:dyDescent="0.2">
      <c r="A4" s="32" t="s">
        <v>59</v>
      </c>
      <c r="B4" s="160"/>
      <c r="C4" s="161"/>
      <c r="D4" s="161"/>
      <c r="E4" s="161"/>
      <c r="F4" s="162"/>
      <c r="G4" s="14"/>
      <c r="H4" s="14"/>
      <c r="I4" s="14"/>
      <c r="J4" s="14"/>
    </row>
    <row r="5" spans="1:11" s="12" customFormat="1" x14ac:dyDescent="0.2">
      <c r="A5" s="32" t="s">
        <v>60</v>
      </c>
      <c r="B5" s="166"/>
      <c r="C5" s="166"/>
      <c r="D5" s="166"/>
      <c r="E5" s="166"/>
      <c r="F5" s="166"/>
      <c r="G5" s="14"/>
      <c r="H5" s="14"/>
      <c r="I5" s="14"/>
    </row>
    <row r="6" spans="1:11" s="12" customFormat="1" x14ac:dyDescent="0.2">
      <c r="A6" s="32" t="s">
        <v>61</v>
      </c>
      <c r="B6" s="167"/>
      <c r="C6" s="166"/>
      <c r="D6" s="166"/>
      <c r="E6" s="166"/>
      <c r="F6" s="166"/>
      <c r="G6" s="14"/>
      <c r="H6" s="14"/>
      <c r="I6" s="14"/>
    </row>
    <row r="7" spans="1:11" s="12" customFormat="1" x14ac:dyDescent="0.2"/>
    <row r="8" spans="1:11" s="12" customFormat="1" x14ac:dyDescent="0.2"/>
    <row r="9" spans="1:11" s="12" customFormat="1" ht="17.25" customHeight="1" x14ac:dyDescent="0.2">
      <c r="A9" s="168" t="s">
        <v>62</v>
      </c>
      <c r="B9" s="169"/>
      <c r="C9" s="169"/>
      <c r="D9" s="169"/>
      <c r="E9" s="169"/>
      <c r="F9" s="169"/>
      <c r="G9" s="169"/>
      <c r="H9" s="169"/>
      <c r="I9" s="169"/>
      <c r="J9" s="170"/>
    </row>
    <row r="10" spans="1:11" s="12" customFormat="1" ht="18" customHeight="1" x14ac:dyDescent="0.2"/>
    <row r="11" spans="1:11" s="12" customFormat="1" ht="30.75" customHeight="1" x14ac:dyDescent="0.2">
      <c r="A11" s="74" t="s">
        <v>54</v>
      </c>
      <c r="B11" s="82" t="s">
        <v>63</v>
      </c>
      <c r="C11" s="74" t="s">
        <v>64</v>
      </c>
      <c r="D11" s="74" t="s">
        <v>65</v>
      </c>
      <c r="E11" s="103" t="s">
        <v>227</v>
      </c>
      <c r="F11" s="74" t="s">
        <v>67</v>
      </c>
      <c r="G11" s="74" t="s">
        <v>68</v>
      </c>
      <c r="H11" s="74"/>
      <c r="I11" s="74"/>
      <c r="J11" s="74" t="s">
        <v>70</v>
      </c>
    </row>
    <row r="12" spans="1:11" s="12" customFormat="1" ht="24" x14ac:dyDescent="0.2">
      <c r="A12" s="15" t="str">
        <f>IF(Allgemein!C43=0,"",Allgemein!C43)</f>
        <v>Arbeitsergebnisse</v>
      </c>
      <c r="B12" s="28" t="s">
        <v>343</v>
      </c>
      <c r="C12" s="28" t="s">
        <v>262</v>
      </c>
      <c r="D12" s="28" t="s">
        <v>264</v>
      </c>
      <c r="E12" s="104"/>
      <c r="F12" s="28" t="s">
        <v>262</v>
      </c>
      <c r="G12" s="28" t="s">
        <v>356</v>
      </c>
      <c r="H12" s="28"/>
      <c r="I12" s="28"/>
      <c r="J12" s="83"/>
      <c r="K12" s="16"/>
    </row>
    <row r="13" spans="1:11" s="12" customFormat="1" ht="11.45" customHeight="1" x14ac:dyDescent="0.2">
      <c r="A13" s="15" t="str">
        <f>IF(Allgemein!C44=0,"",Allgemein!C44)</f>
        <v>Projektdokumentation</v>
      </c>
      <c r="B13" s="28" t="s">
        <v>343</v>
      </c>
      <c r="C13" s="28" t="s">
        <v>263</v>
      </c>
      <c r="D13" s="28" t="s">
        <v>262</v>
      </c>
      <c r="E13" s="104"/>
      <c r="F13" s="28" t="s">
        <v>262</v>
      </c>
      <c r="G13" s="28" t="s">
        <v>356</v>
      </c>
      <c r="H13" s="28"/>
      <c r="I13" s="28"/>
      <c r="J13" s="83"/>
      <c r="K13" s="16"/>
    </row>
    <row r="14" spans="1:11" s="12" customFormat="1" x14ac:dyDescent="0.2">
      <c r="A14" s="15" t="str">
        <f>IF(Allgemein!C45=0,"",Allgemein!C45)</f>
        <v>IT-System- und Dokumentenmanagement</v>
      </c>
      <c r="B14" s="28" t="s">
        <v>353</v>
      </c>
      <c r="C14" s="28"/>
      <c r="D14" s="28"/>
      <c r="E14" s="104"/>
      <c r="F14" s="28"/>
      <c r="G14" s="28"/>
      <c r="H14" s="28"/>
      <c r="I14" s="28"/>
      <c r="J14" s="83"/>
      <c r="K14" s="16"/>
    </row>
    <row r="15" spans="1:11" s="12" customFormat="1" ht="24" x14ac:dyDescent="0.2">
      <c r="A15" s="15" t="str">
        <f>IF(Allgemein!C46=0,"",Allgemein!C46)</f>
        <v>Altprojektdatenbank</v>
      </c>
      <c r="B15" s="28" t="s">
        <v>343</v>
      </c>
      <c r="C15" s="28" t="s">
        <v>263</v>
      </c>
      <c r="D15" s="28" t="s">
        <v>263</v>
      </c>
      <c r="E15" s="104"/>
      <c r="F15" s="28" t="s">
        <v>262</v>
      </c>
      <c r="G15" s="28" t="s">
        <v>356</v>
      </c>
      <c r="H15" s="28"/>
      <c r="I15" s="28"/>
      <c r="J15" s="83"/>
      <c r="K15" s="16"/>
    </row>
    <row r="16" spans="1:11" s="12" customFormat="1" ht="24" x14ac:dyDescent="0.2">
      <c r="A16" s="15" t="str">
        <f>IF(Allgemein!C47=0,"",Allgemein!C47)</f>
        <v>Projektfeinplanung (Arbeitspakete - Git Tickets)</v>
      </c>
      <c r="B16" s="28" t="s">
        <v>343</v>
      </c>
      <c r="C16" s="28" t="s">
        <v>262</v>
      </c>
      <c r="D16" s="28" t="s">
        <v>263</v>
      </c>
      <c r="E16" s="104"/>
      <c r="F16" s="28" t="s">
        <v>263</v>
      </c>
      <c r="G16" s="28" t="s">
        <v>356</v>
      </c>
      <c r="H16" s="28"/>
      <c r="I16" s="28"/>
      <c r="J16" s="28"/>
      <c r="K16" s="16"/>
    </row>
    <row r="17" spans="1:11" s="12" customFormat="1" x14ac:dyDescent="0.2">
      <c r="A17" s="15" t="str">
        <f>IF(Allgemein!C48=0,"",Allgemein!C48)</f>
        <v>Projektgrobplanung</v>
      </c>
      <c r="B17" s="28" t="s">
        <v>353</v>
      </c>
      <c r="C17" s="28"/>
      <c r="D17" s="28"/>
      <c r="E17" s="104"/>
      <c r="F17" s="28"/>
      <c r="G17" s="28"/>
      <c r="H17" s="28"/>
      <c r="I17" s="28"/>
      <c r="J17" s="28"/>
      <c r="K17" s="16"/>
    </row>
    <row r="18" spans="1:11" s="12" customFormat="1" x14ac:dyDescent="0.2">
      <c r="A18" s="15" t="str">
        <f>IF(Allgemein!C49=0,"",Allgemein!C49)</f>
        <v>Rechnungsmanagement</v>
      </c>
      <c r="B18" s="28" t="s">
        <v>353</v>
      </c>
      <c r="C18" s="28"/>
      <c r="D18" s="28"/>
      <c r="E18" s="104"/>
      <c r="F18" s="28"/>
      <c r="G18" s="28"/>
      <c r="H18" s="28"/>
      <c r="I18" s="28"/>
      <c r="J18" s="28"/>
      <c r="K18" s="16"/>
    </row>
    <row r="19" spans="1:11" s="12" customFormat="1" x14ac:dyDescent="0.2">
      <c r="A19" s="15" t="str">
        <f>IF(Allgemein!C50=0,"",Allgemein!C50)</f>
        <v>Projektbasierte Risikoanalyse</v>
      </c>
      <c r="B19" s="28" t="s">
        <v>353</v>
      </c>
      <c r="C19" s="28"/>
      <c r="D19" s="28"/>
      <c r="E19" s="104"/>
      <c r="F19" s="28"/>
      <c r="G19" s="28"/>
      <c r="H19" s="28"/>
      <c r="I19" s="28"/>
      <c r="J19" s="28"/>
      <c r="K19" s="16"/>
    </row>
    <row r="20" spans="1:11" s="12" customFormat="1" ht="24" x14ac:dyDescent="0.2">
      <c r="A20" s="15" t="str">
        <f>IF(Allgemein!C51=0,"",Allgemein!C51)</f>
        <v>Wiki Wissensdatenbank</v>
      </c>
      <c r="B20" s="28" t="s">
        <v>343</v>
      </c>
      <c r="C20" s="28" t="s">
        <v>262</v>
      </c>
      <c r="D20" s="28" t="s">
        <v>262</v>
      </c>
      <c r="E20" s="104"/>
      <c r="F20" s="28" t="s">
        <v>262</v>
      </c>
      <c r="G20" s="28" t="s">
        <v>356</v>
      </c>
      <c r="H20" s="28"/>
      <c r="I20" s="28"/>
      <c r="J20" s="28"/>
      <c r="K20" s="16"/>
    </row>
    <row r="21" spans="1:11" s="12" customFormat="1" ht="24" x14ac:dyDescent="0.2">
      <c r="A21" s="15" t="str">
        <f>IF(Allgemein!C52=0,"",Allgemein!C52)</f>
        <v>Source Code</v>
      </c>
      <c r="B21" s="28" t="s">
        <v>343</v>
      </c>
      <c r="C21" s="28" t="s">
        <v>263</v>
      </c>
      <c r="D21" s="28" t="s">
        <v>263</v>
      </c>
      <c r="E21" s="104"/>
      <c r="F21" s="28" t="s">
        <v>263</v>
      </c>
      <c r="G21" s="28" t="s">
        <v>356</v>
      </c>
      <c r="H21" s="28"/>
      <c r="I21" s="28"/>
      <c r="J21" s="28"/>
      <c r="K21" s="16"/>
    </row>
    <row r="22" spans="1:11" s="12" customFormat="1" x14ac:dyDescent="0.2">
      <c r="A22" s="15" t="str">
        <f>IF(Allgemein!C53=0,"",Allgemein!C53)</f>
        <v>Missionsdaten</v>
      </c>
      <c r="B22" s="28" t="s">
        <v>353</v>
      </c>
      <c r="C22" s="28"/>
      <c r="D22" s="28"/>
      <c r="E22" s="104"/>
      <c r="F22" s="28"/>
      <c r="G22" s="28"/>
      <c r="H22" s="28"/>
      <c r="I22" s="28"/>
      <c r="J22" s="28"/>
      <c r="K22" s="16"/>
    </row>
    <row r="23" spans="1:11" s="12" customFormat="1" x14ac:dyDescent="0.2">
      <c r="A23" s="15" t="str">
        <f>IF(Allgemein!C54=0,"",Allgemein!C54)</f>
        <v>Schlüsselmaterial Mission</v>
      </c>
      <c r="B23" s="28" t="s">
        <v>353</v>
      </c>
      <c r="C23" s="28"/>
      <c r="D23" s="28"/>
      <c r="E23" s="104"/>
      <c r="F23" s="28"/>
      <c r="G23" s="28"/>
      <c r="H23" s="28"/>
      <c r="I23" s="28"/>
      <c r="J23" s="28"/>
      <c r="K23" s="16"/>
    </row>
    <row r="24" spans="1:11" s="12" customFormat="1" x14ac:dyDescent="0.2">
      <c r="A24" s="15" t="str">
        <f>IF(Allgemein!C55=0,"",Allgemein!C55)</f>
        <v/>
      </c>
      <c r="B24" s="28"/>
      <c r="C24" s="28"/>
      <c r="D24" s="28"/>
      <c r="E24" s="104"/>
      <c r="F24" s="28"/>
      <c r="G24" s="28"/>
      <c r="H24" s="28"/>
      <c r="I24" s="28"/>
      <c r="J24" s="28"/>
      <c r="K24" s="16"/>
    </row>
    <row r="25" spans="1:11" s="12" customFormat="1" x14ac:dyDescent="0.2">
      <c r="A25" s="15" t="str">
        <f>IF(Allgemein!C56=0,"",Allgemein!C56)</f>
        <v/>
      </c>
      <c r="B25" s="28"/>
      <c r="C25" s="28"/>
      <c r="D25" s="28"/>
      <c r="E25" s="104"/>
      <c r="F25" s="28"/>
      <c r="G25" s="28"/>
      <c r="H25" s="28"/>
      <c r="I25" s="28"/>
      <c r="J25" s="28"/>
      <c r="K25" s="16"/>
    </row>
    <row r="26" spans="1:11" s="12" customFormat="1" x14ac:dyDescent="0.2">
      <c r="A26" s="15" t="str">
        <f>IF(Allgemein!C57=0,"",Allgemein!C57)</f>
        <v/>
      </c>
      <c r="B26" s="28"/>
      <c r="C26" s="28"/>
      <c r="D26" s="28"/>
      <c r="E26" s="104"/>
      <c r="F26" s="28"/>
      <c r="G26" s="28"/>
      <c r="H26" s="28"/>
      <c r="I26" s="28"/>
      <c r="J26" s="28"/>
      <c r="K26" s="16"/>
    </row>
    <row r="27" spans="1:11" s="12" customFormat="1" hidden="1" x14ac:dyDescent="0.2">
      <c r="A27" s="15" t="str">
        <f>IF(Allgemein!C58=0,"",Allgemein!C58)</f>
        <v/>
      </c>
      <c r="B27" s="28"/>
      <c r="C27" s="28"/>
      <c r="D27" s="28"/>
      <c r="E27" s="104"/>
      <c r="F27" s="28"/>
      <c r="G27" s="28"/>
      <c r="H27" s="28"/>
      <c r="I27" s="28"/>
      <c r="J27" s="28"/>
      <c r="K27" s="16"/>
    </row>
    <row r="28" spans="1:11" s="12" customFormat="1" hidden="1" x14ac:dyDescent="0.2">
      <c r="A28" s="15" t="str">
        <f>IF(Allgemein!C59=0,"",Allgemein!C59)</f>
        <v/>
      </c>
      <c r="B28" s="28"/>
      <c r="C28" s="28"/>
      <c r="D28" s="28"/>
      <c r="E28" s="104"/>
      <c r="F28" s="28"/>
      <c r="G28" s="28"/>
      <c r="H28" s="28"/>
      <c r="I28" s="28"/>
      <c r="J28" s="28"/>
      <c r="K28" s="16"/>
    </row>
    <row r="29" spans="1:11" s="12" customFormat="1" hidden="1" x14ac:dyDescent="0.2">
      <c r="A29" s="15" t="str">
        <f>IF(Allgemein!C60=0,"",Allgemein!C60)</f>
        <v/>
      </c>
      <c r="B29" s="28"/>
      <c r="C29" s="28"/>
      <c r="D29" s="28"/>
      <c r="E29" s="104"/>
      <c r="F29" s="28"/>
      <c r="G29" s="28"/>
      <c r="H29" s="28"/>
      <c r="I29" s="28"/>
      <c r="J29" s="28"/>
      <c r="K29" s="16"/>
    </row>
    <row r="30" spans="1:11" s="12" customFormat="1" hidden="1" x14ac:dyDescent="0.2">
      <c r="A30" s="15" t="str">
        <f>IF(Allgemein!C61=0,"",Allgemein!C61)</f>
        <v/>
      </c>
      <c r="B30" s="28"/>
      <c r="C30" s="28"/>
      <c r="D30" s="28"/>
      <c r="E30" s="104"/>
      <c r="F30" s="28"/>
      <c r="G30" s="28"/>
      <c r="H30" s="28"/>
      <c r="I30" s="28"/>
      <c r="J30" s="28"/>
      <c r="K30" s="16"/>
    </row>
    <row r="31" spans="1:11" s="12" customFormat="1" hidden="1" x14ac:dyDescent="0.2">
      <c r="A31" s="15" t="str">
        <f>IF(Allgemein!C62=0,"",Allgemein!C62)</f>
        <v/>
      </c>
      <c r="B31" s="28"/>
      <c r="C31" s="28"/>
      <c r="D31" s="28"/>
      <c r="E31" s="104"/>
      <c r="F31" s="28"/>
      <c r="G31" s="28"/>
      <c r="H31" s="28"/>
      <c r="I31" s="28"/>
      <c r="J31" s="28"/>
      <c r="K31" s="16"/>
    </row>
    <row r="32" spans="1:11" s="12" customFormat="1" hidden="1" x14ac:dyDescent="0.2">
      <c r="A32" s="15" t="str">
        <f>IF(Allgemein!C63=0,"",Allgemein!C63)</f>
        <v/>
      </c>
      <c r="B32" s="28"/>
      <c r="C32" s="28"/>
      <c r="D32" s="28"/>
      <c r="E32" s="104"/>
      <c r="F32" s="28"/>
      <c r="G32" s="28"/>
      <c r="H32" s="28"/>
      <c r="I32" s="28"/>
      <c r="J32" s="28"/>
      <c r="K32" s="16"/>
    </row>
    <row r="33" spans="1:11" s="12" customFormat="1" hidden="1" x14ac:dyDescent="0.2">
      <c r="A33" s="15" t="str">
        <f>IF(Allgemein!C64=0,"",Allgemein!C64)</f>
        <v/>
      </c>
      <c r="B33" s="28"/>
      <c r="C33" s="28"/>
      <c r="D33" s="28"/>
      <c r="E33" s="104"/>
      <c r="F33" s="28"/>
      <c r="G33" s="28"/>
      <c r="H33" s="28"/>
      <c r="I33" s="28"/>
      <c r="J33" s="28"/>
      <c r="K33" s="16"/>
    </row>
    <row r="34" spans="1:11" s="12" customFormat="1" hidden="1" x14ac:dyDescent="0.2">
      <c r="A34" s="15" t="str">
        <f>IF(Allgemein!C65=0,"",Allgemein!C65)</f>
        <v/>
      </c>
      <c r="B34" s="28"/>
      <c r="C34" s="28"/>
      <c r="D34" s="28"/>
      <c r="E34" s="104"/>
      <c r="F34" s="28"/>
      <c r="G34" s="28"/>
      <c r="H34" s="28"/>
      <c r="I34" s="28"/>
      <c r="J34" s="28"/>
      <c r="K34" s="16"/>
    </row>
    <row r="35" spans="1:11" s="12" customFormat="1" hidden="1" x14ac:dyDescent="0.2">
      <c r="A35" s="15" t="str">
        <f>IF(Allgemein!C66=0,"",Allgemein!C66)</f>
        <v/>
      </c>
      <c r="B35" s="28"/>
      <c r="C35" s="28"/>
      <c r="D35" s="28"/>
      <c r="E35" s="104"/>
      <c r="F35" s="28"/>
      <c r="G35" s="28"/>
      <c r="H35" s="28"/>
      <c r="I35" s="28"/>
      <c r="J35" s="28"/>
      <c r="K35" s="16"/>
    </row>
    <row r="36" spans="1:11" s="12" customFormat="1" ht="11.45" hidden="1" customHeight="1" x14ac:dyDescent="0.2">
      <c r="A36" s="15" t="str">
        <f>IF(Allgemein!C67=0,"",Allgemein!C67)</f>
        <v/>
      </c>
      <c r="B36" s="28"/>
      <c r="C36" s="28"/>
      <c r="D36" s="28"/>
      <c r="E36" s="104"/>
      <c r="F36" s="28"/>
      <c r="G36" s="28"/>
      <c r="H36" s="28"/>
      <c r="I36" s="28"/>
      <c r="J36" s="28"/>
      <c r="K36" s="16"/>
    </row>
    <row r="37" spans="1:11" s="12" customFormat="1" ht="11.45" hidden="1" customHeight="1" x14ac:dyDescent="0.2">
      <c r="A37" s="15" t="str">
        <f>IF(Allgemein!C68=0,"",Allgemein!C68)</f>
        <v/>
      </c>
      <c r="B37" s="28"/>
      <c r="C37" s="28"/>
      <c r="D37" s="28"/>
      <c r="E37" s="104"/>
      <c r="F37" s="28"/>
      <c r="G37" s="28"/>
      <c r="H37" s="28"/>
      <c r="I37" s="28"/>
      <c r="J37" s="28"/>
      <c r="K37" s="16"/>
    </row>
    <row r="38" spans="1:11" s="12" customFormat="1" hidden="1" x14ac:dyDescent="0.2">
      <c r="A38" s="15" t="str">
        <f>IF(Allgemein!C69=0,"",Allgemein!C69)</f>
        <v/>
      </c>
      <c r="B38" s="28"/>
      <c r="C38" s="28"/>
      <c r="D38" s="28"/>
      <c r="E38" s="104"/>
      <c r="F38" s="28"/>
      <c r="G38" s="28"/>
      <c r="H38" s="28"/>
      <c r="I38" s="28"/>
      <c r="J38" s="28"/>
    </row>
    <row r="39" spans="1:11" s="12" customFormat="1" hidden="1" x14ac:dyDescent="0.2">
      <c r="A39" s="15" t="str">
        <f>IF(Allgemein!C70=0,"",Allgemein!C70)</f>
        <v/>
      </c>
      <c r="B39" s="28"/>
      <c r="C39" s="28"/>
      <c r="D39" s="28"/>
      <c r="E39" s="104"/>
      <c r="F39" s="28"/>
      <c r="G39" s="28"/>
      <c r="H39" s="28"/>
      <c r="I39" s="28"/>
      <c r="J39" s="28"/>
    </row>
    <row r="40" spans="1:11" s="12" customFormat="1" hidden="1" x14ac:dyDescent="0.2">
      <c r="A40" s="15" t="str">
        <f>IF(Allgemein!C71=0,"",Allgemein!C71)</f>
        <v/>
      </c>
      <c r="B40" s="28"/>
      <c r="C40" s="28"/>
      <c r="D40" s="28"/>
      <c r="E40" s="104"/>
      <c r="F40" s="28"/>
      <c r="G40" s="28"/>
      <c r="H40" s="28"/>
      <c r="I40" s="28"/>
      <c r="J40" s="28"/>
    </row>
    <row r="41" spans="1:11" s="12" customFormat="1" ht="11.45" hidden="1" customHeight="1" x14ac:dyDescent="0.2">
      <c r="A41" s="15" t="str">
        <f>IF(Allgemein!C72=0,"",Allgemein!C72)</f>
        <v/>
      </c>
      <c r="B41" s="28"/>
      <c r="C41" s="28"/>
      <c r="D41" s="28"/>
      <c r="E41" s="104"/>
      <c r="F41" s="28"/>
      <c r="G41" s="28"/>
      <c r="H41" s="28"/>
      <c r="I41" s="28"/>
      <c r="J41" s="28"/>
    </row>
    <row r="42" spans="1:11" s="12" customFormat="1" ht="11.45" hidden="1" customHeight="1" x14ac:dyDescent="0.2">
      <c r="A42" s="15" t="str">
        <f>IF(Allgemein!C73=0,"",Allgemein!C73)</f>
        <v/>
      </c>
      <c r="B42" s="28"/>
      <c r="C42" s="28"/>
      <c r="D42" s="28"/>
      <c r="E42" s="104"/>
      <c r="F42" s="28"/>
      <c r="G42" s="28"/>
      <c r="H42" s="28"/>
      <c r="I42" s="28"/>
      <c r="J42" s="28"/>
    </row>
    <row r="43" spans="1:11" s="12" customFormat="1" ht="11.45" hidden="1" customHeight="1" x14ac:dyDescent="0.2">
      <c r="A43" s="15" t="str">
        <f>IF(Allgemein!C74=0,"",Allgemein!C74)</f>
        <v/>
      </c>
      <c r="B43" s="28"/>
      <c r="C43" s="28"/>
      <c r="D43" s="28"/>
      <c r="E43" s="104"/>
      <c r="F43" s="28"/>
      <c r="G43" s="28"/>
      <c r="H43" s="28"/>
      <c r="I43" s="28"/>
      <c r="J43" s="28"/>
    </row>
    <row r="44" spans="1:11" s="12" customFormat="1" ht="11.45" hidden="1" customHeight="1" x14ac:dyDescent="0.2">
      <c r="A44" s="15" t="str">
        <f>IF(Allgemein!C75=0,"",Allgemein!C75)</f>
        <v/>
      </c>
      <c r="B44" s="28"/>
      <c r="C44" s="28"/>
      <c r="D44" s="28"/>
      <c r="E44" s="104"/>
      <c r="F44" s="28"/>
      <c r="G44" s="28"/>
      <c r="H44" s="28"/>
      <c r="I44" s="28"/>
      <c r="J44" s="28"/>
    </row>
    <row r="45" spans="1:11" s="12" customFormat="1" ht="11.45" hidden="1" customHeight="1" x14ac:dyDescent="0.2">
      <c r="A45" s="15" t="str">
        <f>IF(Allgemein!C76=0,"",Allgemein!C76)</f>
        <v/>
      </c>
      <c r="B45" s="28"/>
      <c r="C45" s="28"/>
      <c r="D45" s="28"/>
      <c r="E45" s="104"/>
      <c r="F45" s="28"/>
      <c r="G45" s="28"/>
      <c r="H45" s="28"/>
      <c r="I45" s="28"/>
      <c r="J45" s="28"/>
    </row>
    <row r="46" spans="1:11" s="12" customFormat="1" ht="11.45" hidden="1" customHeight="1" x14ac:dyDescent="0.2">
      <c r="A46" s="15" t="str">
        <f>IF(Allgemein!C77=0,"",Allgemein!C77)</f>
        <v/>
      </c>
      <c r="B46" s="28"/>
      <c r="C46" s="28"/>
      <c r="D46" s="28"/>
      <c r="E46" s="104"/>
      <c r="F46" s="28"/>
      <c r="G46" s="28"/>
      <c r="H46" s="28"/>
      <c r="I46" s="28"/>
      <c r="J46" s="28"/>
    </row>
    <row r="47" spans="1:11" s="12" customFormat="1" ht="11.45" hidden="1" customHeight="1" x14ac:dyDescent="0.2">
      <c r="A47" s="15" t="str">
        <f>IF(Allgemein!C78=0,"",Allgemein!C78)</f>
        <v/>
      </c>
      <c r="B47" s="28"/>
      <c r="C47" s="28"/>
      <c r="D47" s="28"/>
      <c r="E47" s="104"/>
      <c r="F47" s="28"/>
      <c r="G47" s="28"/>
      <c r="H47" s="28"/>
      <c r="I47" s="28"/>
      <c r="J47" s="28"/>
    </row>
    <row r="48" spans="1:11" s="12" customFormat="1" ht="11.45" hidden="1" customHeight="1" x14ac:dyDescent="0.2">
      <c r="A48" s="15" t="str">
        <f>IF(Allgemein!C79=0,"",Allgemein!C79)</f>
        <v/>
      </c>
      <c r="B48" s="28"/>
      <c r="C48" s="28"/>
      <c r="D48" s="28"/>
      <c r="E48" s="104"/>
      <c r="F48" s="28"/>
      <c r="G48" s="28"/>
      <c r="H48" s="28"/>
      <c r="I48" s="28"/>
      <c r="J48" s="28"/>
    </row>
    <row r="49" spans="1:18" s="12" customFormat="1" ht="11.45" hidden="1" customHeight="1" x14ac:dyDescent="0.2">
      <c r="A49" s="15" t="str">
        <f>IF(Allgemein!C80=0,"",Allgemein!C80)</f>
        <v/>
      </c>
      <c r="B49" s="28"/>
      <c r="C49" s="28"/>
      <c r="D49" s="28"/>
      <c r="E49" s="104"/>
      <c r="F49" s="28"/>
      <c r="G49" s="28"/>
      <c r="H49" s="28"/>
      <c r="I49" s="28"/>
      <c r="J49" s="28"/>
    </row>
    <row r="50" spans="1:18" s="12" customFormat="1" ht="11.45" hidden="1" customHeight="1" x14ac:dyDescent="0.2">
      <c r="A50" s="15" t="str">
        <f>IF(Allgemein!C81=0,"",Allgemein!C81)</f>
        <v/>
      </c>
      <c r="B50" s="28"/>
      <c r="C50" s="28"/>
      <c r="D50" s="28"/>
      <c r="E50" s="104"/>
      <c r="F50" s="28"/>
      <c r="G50" s="28"/>
      <c r="H50" s="28"/>
      <c r="I50" s="28"/>
      <c r="J50" s="28"/>
    </row>
    <row r="51" spans="1:18" s="12" customFormat="1" ht="11.45" hidden="1" customHeight="1" x14ac:dyDescent="0.2">
      <c r="A51" s="15" t="str">
        <f>IF(Allgemein!C82=0,"",Allgemein!C82)</f>
        <v/>
      </c>
      <c r="B51" s="28"/>
      <c r="C51" s="28"/>
      <c r="D51" s="28"/>
      <c r="E51" s="104"/>
      <c r="F51" s="28"/>
      <c r="G51" s="28"/>
      <c r="H51" s="28"/>
      <c r="I51" s="28"/>
      <c r="J51" s="28"/>
    </row>
    <row r="52" spans="1:18" s="12" customFormat="1" x14ac:dyDescent="0.2"/>
    <row r="53" spans="1:18" s="12" customFormat="1" ht="18" customHeight="1" x14ac:dyDescent="0.2">
      <c r="A53" s="171" t="s">
        <v>76</v>
      </c>
      <c r="B53" s="171"/>
      <c r="C53" s="171"/>
      <c r="D53" s="171"/>
      <c r="E53" s="171"/>
      <c r="F53" s="171"/>
      <c r="G53" s="171"/>
      <c r="H53" s="171"/>
      <c r="I53" s="171"/>
      <c r="J53" s="171"/>
      <c r="K53" s="171"/>
      <c r="L53" s="171"/>
      <c r="M53" s="171"/>
      <c r="N53" s="171"/>
      <c r="O53" s="171"/>
      <c r="P53" s="171"/>
      <c r="Q53" s="171"/>
      <c r="R53" s="171"/>
    </row>
    <row r="54" spans="1:18" s="12" customFormat="1" ht="18" customHeight="1" x14ac:dyDescent="0.2">
      <c r="K54" s="172"/>
      <c r="L54" s="172"/>
      <c r="M54" s="172"/>
      <c r="N54" s="172"/>
      <c r="O54" s="172"/>
      <c r="P54" s="172"/>
      <c r="Q54" s="172"/>
      <c r="R54" s="172"/>
    </row>
    <row r="55" spans="1:18" s="12" customFormat="1" ht="24" hidden="1" x14ac:dyDescent="0.2">
      <c r="A55" s="74" t="s">
        <v>55</v>
      </c>
      <c r="B55" s="82" t="s">
        <v>63</v>
      </c>
      <c r="C55" s="153" t="s">
        <v>77</v>
      </c>
      <c r="D55" s="154"/>
      <c r="E55" s="155"/>
      <c r="F55" s="74"/>
      <c r="G55" s="153" t="s">
        <v>78</v>
      </c>
      <c r="H55" s="154"/>
      <c r="I55" s="154"/>
      <c r="J55" s="155"/>
      <c r="K55" s="74" t="str">
        <f>B151</f>
        <v>≤ 1 d</v>
      </c>
      <c r="L55" s="74" t="str">
        <f t="shared" ref="L55:R55" si="0">C151</f>
        <v>≤ 3 d</v>
      </c>
      <c r="M55" s="74" t="str">
        <f t="shared" si="0"/>
        <v>≤ 7 d</v>
      </c>
      <c r="N55" s="74" t="str">
        <f t="shared" si="0"/>
        <v>≤ 7 d</v>
      </c>
      <c r="O55" s="74" t="str">
        <f t="shared" si="0"/>
        <v>≤ 14 d</v>
      </c>
      <c r="P55" s="74">
        <f t="shared" si="0"/>
        <v>0</v>
      </c>
      <c r="Q55" s="74" t="str">
        <f t="shared" si="0"/>
        <v/>
      </c>
      <c r="R55" s="74" t="str">
        <f t="shared" si="0"/>
        <v/>
      </c>
    </row>
    <row r="56" spans="1:18" s="12" customFormat="1" hidden="1" x14ac:dyDescent="0.2">
      <c r="A56" s="15" t="str">
        <f>IF(Allgemein!F43=0,"",Allgemein!F43)</f>
        <v>Technische Universität Berlin</v>
      </c>
      <c r="B56" s="28"/>
      <c r="C56" s="163"/>
      <c r="D56" s="164"/>
      <c r="E56" s="165"/>
      <c r="F56" s="28"/>
      <c r="G56" s="163"/>
      <c r="H56" s="164"/>
      <c r="I56" s="164"/>
      <c r="J56" s="165"/>
      <c r="K56" s="77"/>
      <c r="L56" s="77"/>
      <c r="M56" s="77"/>
      <c r="N56" s="77"/>
      <c r="O56" s="77"/>
      <c r="P56" s="77"/>
      <c r="Q56" s="77"/>
      <c r="R56" s="77"/>
    </row>
    <row r="57" spans="1:18" s="12" customFormat="1" ht="12" hidden="1" customHeight="1" x14ac:dyDescent="0.2">
      <c r="A57" s="15" t="str">
        <f>IF(Allgemein!F44=0,"",Allgemein!F44)</f>
        <v>Deutsches Luft- und Raumfahrtzentrum</v>
      </c>
      <c r="B57" s="28"/>
      <c r="C57" s="163"/>
      <c r="D57" s="164"/>
      <c r="E57" s="165"/>
      <c r="F57" s="28"/>
      <c r="G57" s="163"/>
      <c r="H57" s="164"/>
      <c r="I57" s="164"/>
      <c r="J57" s="165"/>
      <c r="K57" s="77"/>
      <c r="L57" s="77"/>
      <c r="M57" s="77"/>
      <c r="N57" s="77"/>
      <c r="O57" s="77"/>
      <c r="P57" s="77"/>
      <c r="Q57" s="77"/>
      <c r="R57" s="77"/>
    </row>
    <row r="58" spans="1:18" s="12" customFormat="1" ht="24" hidden="1" x14ac:dyDescent="0.2">
      <c r="A58" s="15" t="str">
        <f>IF(Allgemein!F45=0,"",Allgemein!F45)</f>
        <v>Deutsches Zentrum für Satelliten-Kommunikation</v>
      </c>
      <c r="B58" s="28"/>
      <c r="C58" s="163"/>
      <c r="D58" s="164"/>
      <c r="E58" s="165"/>
      <c r="F58" s="28"/>
      <c r="G58" s="163"/>
      <c r="H58" s="164"/>
      <c r="I58" s="164"/>
      <c r="J58" s="165"/>
      <c r="K58" s="77"/>
      <c r="L58" s="77"/>
      <c r="M58" s="77"/>
      <c r="N58" s="77"/>
      <c r="O58" s="77"/>
      <c r="P58" s="77"/>
      <c r="Q58" s="77"/>
      <c r="R58" s="77"/>
    </row>
    <row r="59" spans="1:18" s="12" customFormat="1" hidden="1" x14ac:dyDescent="0.2">
      <c r="A59" s="15" t="str">
        <f>IF(Allgemein!F46=0,"",Allgemein!F46)</f>
        <v>bdew/Vattenfall</v>
      </c>
      <c r="B59" s="28"/>
      <c r="C59" s="163"/>
      <c r="D59" s="164"/>
      <c r="E59" s="165"/>
      <c r="F59" s="28"/>
      <c r="G59" s="163"/>
      <c r="H59" s="164"/>
      <c r="I59" s="164"/>
      <c r="J59" s="165"/>
      <c r="K59" s="77"/>
      <c r="L59" s="77"/>
      <c r="M59" s="77"/>
      <c r="N59" s="77"/>
      <c r="O59" s="77"/>
      <c r="P59" s="77"/>
      <c r="Q59" s="77"/>
      <c r="R59" s="77"/>
    </row>
    <row r="60" spans="1:18" s="12" customFormat="1" ht="12" hidden="1" customHeight="1" x14ac:dyDescent="0.2">
      <c r="A60" s="15" t="str">
        <f>IF(Allgemein!F47=0,"",Allgemein!F47)</f>
        <v>Ruhr-Universität Bochum</v>
      </c>
      <c r="B60" s="28"/>
      <c r="C60" s="163"/>
      <c r="D60" s="164"/>
      <c r="E60" s="165"/>
      <c r="F60" s="28"/>
      <c r="G60" s="163"/>
      <c r="H60" s="164"/>
      <c r="I60" s="164"/>
      <c r="J60" s="165"/>
      <c r="K60" s="77"/>
      <c r="L60" s="77"/>
      <c r="M60" s="77"/>
      <c r="N60" s="77"/>
      <c r="O60" s="77"/>
      <c r="P60" s="77"/>
      <c r="Q60" s="77"/>
      <c r="R60" s="77"/>
    </row>
    <row r="61" spans="1:18" s="12" customFormat="1" hidden="1" x14ac:dyDescent="0.2">
      <c r="A61" s="15" t="str">
        <f>IF(Allgemein!F48=0,"",Allgemein!F48)</f>
        <v>QuantiCor</v>
      </c>
      <c r="B61" s="28"/>
      <c r="C61" s="163"/>
      <c r="D61" s="164"/>
      <c r="E61" s="165"/>
      <c r="F61" s="28"/>
      <c r="G61" s="163"/>
      <c r="H61" s="164"/>
      <c r="I61" s="164"/>
      <c r="J61" s="165"/>
      <c r="K61" s="77"/>
      <c r="L61" s="77"/>
      <c r="M61" s="77"/>
      <c r="N61" s="77"/>
      <c r="O61" s="77"/>
      <c r="P61" s="77"/>
      <c r="Q61" s="77"/>
      <c r="R61" s="77"/>
    </row>
    <row r="62" spans="1:18" s="12" customFormat="1" hidden="1" x14ac:dyDescent="0.2">
      <c r="A62" s="15" t="str">
        <f>IF(Allgemein!F49=0,"",Allgemein!F49)</f>
        <v>Berlin Nanosatellite Alliance</v>
      </c>
      <c r="B62" s="28"/>
      <c r="C62" s="163"/>
      <c r="D62" s="164"/>
      <c r="E62" s="165"/>
      <c r="F62" s="28"/>
      <c r="G62" s="163"/>
      <c r="H62" s="164"/>
      <c r="I62" s="164"/>
      <c r="J62" s="165"/>
      <c r="K62" s="77"/>
      <c r="L62" s="77"/>
      <c r="M62" s="77"/>
      <c r="N62" s="77"/>
      <c r="O62" s="77"/>
      <c r="P62" s="77"/>
      <c r="Q62" s="77"/>
      <c r="R62" s="77"/>
    </row>
    <row r="63" spans="1:18" s="12" customFormat="1" ht="12" hidden="1" customHeight="1" x14ac:dyDescent="0.2">
      <c r="A63" s="15" t="str">
        <f>IF(Allgemein!F50=0,"",Allgemein!F50)</f>
        <v/>
      </c>
      <c r="B63" s="28"/>
      <c r="C63" s="163"/>
      <c r="D63" s="164"/>
      <c r="E63" s="165"/>
      <c r="F63" s="28"/>
      <c r="G63" s="163"/>
      <c r="H63" s="164"/>
      <c r="I63" s="164"/>
      <c r="J63" s="165"/>
      <c r="K63" s="77"/>
      <c r="L63" s="77"/>
      <c r="M63" s="77"/>
      <c r="N63" s="77"/>
      <c r="O63" s="77"/>
      <c r="P63" s="77"/>
      <c r="Q63" s="77"/>
      <c r="R63" s="77"/>
    </row>
    <row r="64" spans="1:18" s="12" customFormat="1" hidden="1" x14ac:dyDescent="0.2">
      <c r="A64" s="15" t="str">
        <f>IF(Allgemein!F51=0,"",Allgemein!F51)</f>
        <v/>
      </c>
      <c r="B64" s="28"/>
      <c r="C64" s="163"/>
      <c r="D64" s="164"/>
      <c r="E64" s="165"/>
      <c r="F64" s="28"/>
      <c r="G64" s="163"/>
      <c r="H64" s="164"/>
      <c r="I64" s="164"/>
      <c r="J64" s="165"/>
      <c r="K64" s="77"/>
      <c r="L64" s="77"/>
      <c r="M64" s="77"/>
      <c r="N64" s="77"/>
      <c r="O64" s="77"/>
      <c r="P64" s="77"/>
      <c r="Q64" s="77"/>
      <c r="R64" s="77"/>
    </row>
    <row r="65" spans="1:18" s="12" customFormat="1" hidden="1" x14ac:dyDescent="0.2">
      <c r="A65" s="15" t="str">
        <f>IF(Allgemein!F52=0,"",Allgemein!F52)</f>
        <v/>
      </c>
      <c r="B65" s="28"/>
      <c r="C65" s="163"/>
      <c r="D65" s="164"/>
      <c r="E65" s="165"/>
      <c r="F65" s="28"/>
      <c r="G65" s="163"/>
      <c r="H65" s="164"/>
      <c r="I65" s="164"/>
      <c r="J65" s="165"/>
      <c r="K65" s="77"/>
      <c r="L65" s="77"/>
      <c r="M65" s="77"/>
      <c r="N65" s="77"/>
      <c r="O65" s="77"/>
      <c r="P65" s="77"/>
      <c r="Q65" s="77"/>
      <c r="R65" s="77"/>
    </row>
    <row r="66" spans="1:18" s="12" customFormat="1" hidden="1" x14ac:dyDescent="0.2">
      <c r="A66" s="15" t="str">
        <f>IF(Allgemein!F53=0,"",Allgemein!F53)</f>
        <v/>
      </c>
      <c r="B66" s="28"/>
      <c r="C66" s="163"/>
      <c r="D66" s="164"/>
      <c r="E66" s="165"/>
      <c r="F66" s="28"/>
      <c r="G66" s="163"/>
      <c r="H66" s="164"/>
      <c r="I66" s="164"/>
      <c r="J66" s="165"/>
      <c r="K66" s="77"/>
      <c r="L66" s="77"/>
      <c r="M66" s="77"/>
      <c r="N66" s="77"/>
      <c r="O66" s="77"/>
      <c r="P66" s="77"/>
      <c r="Q66" s="77"/>
      <c r="R66" s="77"/>
    </row>
    <row r="67" spans="1:18" s="12" customFormat="1" hidden="1" x14ac:dyDescent="0.2">
      <c r="A67" s="15" t="str">
        <f>IF(Allgemein!F54=0,"",Allgemein!F54)</f>
        <v/>
      </c>
      <c r="B67" s="28"/>
      <c r="C67" s="163"/>
      <c r="D67" s="164"/>
      <c r="E67" s="165"/>
      <c r="F67" s="28"/>
      <c r="G67" s="163"/>
      <c r="H67" s="164"/>
      <c r="I67" s="164"/>
      <c r="J67" s="165"/>
      <c r="K67" s="77"/>
      <c r="L67" s="77"/>
      <c r="M67" s="77"/>
      <c r="N67" s="77"/>
      <c r="O67" s="77"/>
      <c r="P67" s="77"/>
      <c r="Q67" s="77"/>
      <c r="R67" s="77"/>
    </row>
    <row r="68" spans="1:18" s="12" customFormat="1" hidden="1" x14ac:dyDescent="0.2">
      <c r="A68" s="15" t="str">
        <f>IF(Allgemein!F55=0,"",Allgemein!F55)</f>
        <v/>
      </c>
      <c r="B68" s="28"/>
      <c r="C68" s="163"/>
      <c r="D68" s="164"/>
      <c r="E68" s="165"/>
      <c r="F68" s="28"/>
      <c r="G68" s="163"/>
      <c r="H68" s="164"/>
      <c r="I68" s="164"/>
      <c r="J68" s="165"/>
      <c r="K68" s="77"/>
      <c r="L68" s="77"/>
      <c r="M68" s="77"/>
      <c r="N68" s="77"/>
      <c r="O68" s="77"/>
      <c r="P68" s="77"/>
      <c r="Q68" s="77"/>
      <c r="R68" s="77"/>
    </row>
    <row r="69" spans="1:18" s="12" customFormat="1" hidden="1" x14ac:dyDescent="0.2">
      <c r="A69" s="15" t="str">
        <f>IF(Allgemein!F56=0,"",Allgemein!F56)</f>
        <v/>
      </c>
      <c r="B69" s="28"/>
      <c r="C69" s="163"/>
      <c r="D69" s="164"/>
      <c r="E69" s="165"/>
      <c r="F69" s="28"/>
      <c r="G69" s="163"/>
      <c r="H69" s="164"/>
      <c r="I69" s="164"/>
      <c r="J69" s="165"/>
      <c r="K69" s="77"/>
      <c r="L69" s="77"/>
      <c r="M69" s="77"/>
      <c r="N69" s="77"/>
      <c r="O69" s="77"/>
      <c r="P69" s="77"/>
      <c r="Q69" s="77"/>
      <c r="R69" s="77"/>
    </row>
    <row r="70" spans="1:18" s="12" customFormat="1" hidden="1" x14ac:dyDescent="0.2">
      <c r="A70" s="15" t="str">
        <f>IF(Allgemein!F57=0,"",Allgemein!F57)</f>
        <v/>
      </c>
      <c r="B70" s="28"/>
      <c r="C70" s="163"/>
      <c r="D70" s="164"/>
      <c r="E70" s="165"/>
      <c r="F70" s="28"/>
      <c r="G70" s="163"/>
      <c r="H70" s="164"/>
      <c r="I70" s="164"/>
      <c r="J70" s="165"/>
      <c r="K70" s="77"/>
      <c r="L70" s="77"/>
      <c r="M70" s="77"/>
      <c r="N70" s="77"/>
      <c r="O70" s="77"/>
      <c r="P70" s="77"/>
      <c r="Q70" s="77"/>
      <c r="R70" s="77"/>
    </row>
    <row r="71" spans="1:18" s="12" customFormat="1" hidden="1" x14ac:dyDescent="0.2">
      <c r="A71" s="15" t="str">
        <f>IF(Allgemein!F58=0,"",Allgemein!F58)</f>
        <v/>
      </c>
      <c r="B71" s="28"/>
      <c r="C71" s="163"/>
      <c r="D71" s="164"/>
      <c r="E71" s="165"/>
      <c r="F71" s="28"/>
      <c r="G71" s="163"/>
      <c r="H71" s="164"/>
      <c r="I71" s="164"/>
      <c r="J71" s="165"/>
      <c r="K71" s="77"/>
      <c r="L71" s="77"/>
      <c r="M71" s="77"/>
      <c r="N71" s="77"/>
      <c r="O71" s="77"/>
      <c r="P71" s="77"/>
      <c r="Q71" s="77"/>
      <c r="R71" s="77"/>
    </row>
    <row r="72" spans="1:18" s="12" customFormat="1" hidden="1" x14ac:dyDescent="0.2">
      <c r="A72" s="15" t="str">
        <f>IF(Allgemein!F59=0,"",Allgemein!F59)</f>
        <v/>
      </c>
      <c r="B72" s="28"/>
      <c r="C72" s="163"/>
      <c r="D72" s="164"/>
      <c r="E72" s="165"/>
      <c r="F72" s="28"/>
      <c r="G72" s="163"/>
      <c r="H72" s="164"/>
      <c r="I72" s="164"/>
      <c r="J72" s="165"/>
      <c r="K72" s="77"/>
      <c r="L72" s="77"/>
      <c r="M72" s="77"/>
      <c r="N72" s="77"/>
      <c r="O72" s="77"/>
      <c r="P72" s="77"/>
      <c r="Q72" s="77"/>
      <c r="R72" s="77"/>
    </row>
    <row r="73" spans="1:18" s="12" customFormat="1" hidden="1" x14ac:dyDescent="0.2">
      <c r="A73" s="15" t="str">
        <f>IF(Allgemein!F60=0,"",Allgemein!F60)</f>
        <v/>
      </c>
      <c r="B73" s="28"/>
      <c r="C73" s="163"/>
      <c r="D73" s="164"/>
      <c r="E73" s="165"/>
      <c r="F73" s="28"/>
      <c r="G73" s="163"/>
      <c r="H73" s="164"/>
      <c r="I73" s="164"/>
      <c r="J73" s="165"/>
      <c r="K73" s="77"/>
      <c r="L73" s="77"/>
      <c r="M73" s="77"/>
      <c r="N73" s="77"/>
      <c r="O73" s="77"/>
      <c r="P73" s="77"/>
      <c r="Q73" s="77"/>
      <c r="R73" s="77"/>
    </row>
    <row r="74" spans="1:18" s="12" customFormat="1" hidden="1" x14ac:dyDescent="0.2">
      <c r="A74" s="15" t="str">
        <f>IF(Allgemein!F61=0,"",Allgemein!F61)</f>
        <v/>
      </c>
      <c r="B74" s="28"/>
      <c r="C74" s="163"/>
      <c r="D74" s="164"/>
      <c r="E74" s="165"/>
      <c r="F74" s="28"/>
      <c r="G74" s="163"/>
      <c r="H74" s="164"/>
      <c r="I74" s="164"/>
      <c r="J74" s="165"/>
      <c r="K74" s="77"/>
      <c r="L74" s="77"/>
      <c r="M74" s="77"/>
      <c r="N74" s="77"/>
      <c r="O74" s="77"/>
      <c r="P74" s="77"/>
      <c r="Q74" s="77"/>
      <c r="R74" s="77"/>
    </row>
    <row r="75" spans="1:18" s="12" customFormat="1" hidden="1" x14ac:dyDescent="0.2">
      <c r="A75" s="15" t="str">
        <f>IF(Allgemein!F62=0,"",Allgemein!F62)</f>
        <v/>
      </c>
      <c r="B75" s="28"/>
      <c r="C75" s="163"/>
      <c r="D75" s="164"/>
      <c r="E75" s="165"/>
      <c r="F75" s="28"/>
      <c r="G75" s="163"/>
      <c r="H75" s="164"/>
      <c r="I75" s="164"/>
      <c r="J75" s="165"/>
      <c r="K75" s="77"/>
      <c r="L75" s="77"/>
      <c r="M75" s="77"/>
      <c r="N75" s="77"/>
      <c r="O75" s="77"/>
      <c r="P75" s="77"/>
      <c r="Q75" s="77"/>
      <c r="R75" s="77"/>
    </row>
    <row r="76" spans="1:18" s="12" customFormat="1" hidden="1" x14ac:dyDescent="0.2"/>
    <row r="77" spans="1:18" s="12" customFormat="1" ht="24" hidden="1" customHeight="1" x14ac:dyDescent="0.2">
      <c r="A77" s="74" t="s">
        <v>58</v>
      </c>
      <c r="B77" s="82" t="s">
        <v>63</v>
      </c>
      <c r="C77" s="74" t="s">
        <v>69</v>
      </c>
      <c r="E77" s="153" t="s">
        <v>79</v>
      </c>
      <c r="F77" s="155"/>
      <c r="G77" s="74" t="s">
        <v>63</v>
      </c>
      <c r="H77" s="74" t="s">
        <v>69</v>
      </c>
    </row>
    <row r="78" spans="1:18" s="12" customFormat="1" hidden="1" x14ac:dyDescent="0.2">
      <c r="A78" s="22" t="str">
        <f>IF(Allgemein!P43=0,"",Allgemein!P43)</f>
        <v/>
      </c>
      <c r="B78" s="27"/>
      <c r="C78" s="28"/>
      <c r="E78" s="163" t="str">
        <f>IF(Allgemein!N43=0,"",Allgemein!N43)</f>
        <v>Mobiler Arbeitsplatz</v>
      </c>
      <c r="F78" s="165"/>
      <c r="G78" s="28"/>
      <c r="H78" s="28"/>
    </row>
    <row r="79" spans="1:18" s="12" customFormat="1" hidden="1" x14ac:dyDescent="0.2">
      <c r="A79" s="22" t="str">
        <f>IF(Allgemein!P44=0,"",Allgemein!P44)</f>
        <v/>
      </c>
      <c r="B79" s="27"/>
      <c r="C79" s="28"/>
      <c r="E79" s="163" t="str">
        <f>IF(Allgemein!N44=0,"",Allgemein!N44)</f>
        <v>Scanner (Dokument)</v>
      </c>
      <c r="F79" s="165"/>
      <c r="G79" s="28"/>
      <c r="H79" s="28"/>
    </row>
    <row r="80" spans="1:18" s="12" customFormat="1" ht="12" hidden="1" customHeight="1" x14ac:dyDescent="0.2">
      <c r="A80" s="22" t="str">
        <f>IF(Allgemein!P45=0,"",Allgemein!P45)</f>
        <v/>
      </c>
      <c r="B80" s="27"/>
      <c r="C80" s="28"/>
      <c r="E80" s="163" t="str">
        <f>IF(Allgemein!N45=0,"",Allgemein!N45)</f>
        <v>Drucker (normal)</v>
      </c>
      <c r="F80" s="165"/>
      <c r="G80" s="28"/>
      <c r="H80" s="28"/>
    </row>
    <row r="81" spans="1:8" s="12" customFormat="1" ht="12" hidden="1" customHeight="1" x14ac:dyDescent="0.2">
      <c r="A81" s="22" t="str">
        <f>IF(Allgemein!P46=0,"",Allgemein!P46)</f>
        <v/>
      </c>
      <c r="B81" s="27"/>
      <c r="C81" s="28"/>
      <c r="E81" s="163" t="str">
        <f>IF(Allgemein!N46=0,"",Allgemein!N46)</f>
        <v>Laptop</v>
      </c>
      <c r="F81" s="165"/>
      <c r="G81" s="28"/>
      <c r="H81" s="28"/>
    </row>
    <row r="82" spans="1:8" s="12" customFormat="1" ht="12" hidden="1" customHeight="1" x14ac:dyDescent="0.2">
      <c r="A82" s="22" t="str">
        <f>IF(Allgemein!P47=0,"",Allgemein!P47)</f>
        <v/>
      </c>
      <c r="B82" s="27"/>
      <c r="C82" s="28"/>
      <c r="E82" s="163" t="str">
        <f>IF(Allgemein!N47=0,"",Allgemein!N47)</f>
        <v>Router/Switch</v>
      </c>
      <c r="F82" s="165"/>
      <c r="G82" s="28"/>
      <c r="H82" s="28"/>
    </row>
    <row r="83" spans="1:8" s="12" customFormat="1" ht="12" hidden="1" customHeight="1" x14ac:dyDescent="0.2">
      <c r="A83" s="22" t="str">
        <f>IF(Allgemein!P48=0,"",Allgemein!P48)</f>
        <v/>
      </c>
      <c r="B83" s="27"/>
      <c r="C83" s="28"/>
      <c r="E83" s="163" t="str">
        <f>IF(Allgemein!N48=0,"",Allgemein!N48)</f>
        <v/>
      </c>
      <c r="F83" s="165"/>
      <c r="G83" s="28"/>
      <c r="H83" s="28"/>
    </row>
    <row r="84" spans="1:8" s="12" customFormat="1" hidden="1" x14ac:dyDescent="0.2">
      <c r="A84" s="22" t="str">
        <f>IF(Allgemein!P49=0,"",Allgemein!P49)</f>
        <v/>
      </c>
      <c r="B84" s="27"/>
      <c r="C84" s="28"/>
      <c r="E84" s="163" t="str">
        <f>IF(Allgemein!N49=0,"",Allgemein!N49)</f>
        <v/>
      </c>
      <c r="F84" s="165"/>
      <c r="G84" s="28"/>
      <c r="H84" s="28"/>
    </row>
    <row r="85" spans="1:8" s="12" customFormat="1" hidden="1" x14ac:dyDescent="0.2">
      <c r="A85" s="22" t="str">
        <f>IF(Allgemein!P50=0,"",Allgemein!P50)</f>
        <v/>
      </c>
      <c r="B85" s="27"/>
      <c r="C85" s="28"/>
      <c r="E85" s="163" t="str">
        <f>IF(Allgemein!N50=0,"",Allgemein!N50)</f>
        <v/>
      </c>
      <c r="F85" s="165"/>
      <c r="G85" s="28"/>
      <c r="H85" s="28"/>
    </row>
    <row r="86" spans="1:8" s="12" customFormat="1" hidden="1" x14ac:dyDescent="0.2">
      <c r="A86" s="22" t="str">
        <f>IF(Allgemein!P51=0,"",Allgemein!P51)</f>
        <v/>
      </c>
      <c r="B86" s="27"/>
      <c r="C86" s="28"/>
      <c r="E86" s="163" t="str">
        <f>IF(Allgemein!N51=0,"",Allgemein!N51)</f>
        <v/>
      </c>
      <c r="F86" s="165"/>
      <c r="G86" s="28"/>
      <c r="H86" s="28"/>
    </row>
    <row r="87" spans="1:8" s="12" customFormat="1" hidden="1" x14ac:dyDescent="0.2">
      <c r="A87" s="22" t="str">
        <f>IF(Allgemein!P52=0,"",Allgemein!P52)</f>
        <v/>
      </c>
      <c r="B87" s="27"/>
      <c r="C87" s="28"/>
      <c r="E87" s="163" t="str">
        <f>IF(Allgemein!N52=0,"",Allgemein!N52)</f>
        <v/>
      </c>
      <c r="F87" s="165"/>
      <c r="G87" s="28"/>
      <c r="H87" s="28"/>
    </row>
    <row r="88" spans="1:8" s="12" customFormat="1" hidden="1" x14ac:dyDescent="0.2">
      <c r="A88" s="22" t="str">
        <f>IF(Allgemein!P53=0,"",Allgemein!P53)</f>
        <v/>
      </c>
      <c r="B88" s="27"/>
      <c r="C88" s="28"/>
      <c r="E88" s="163" t="str">
        <f>IF(Allgemein!N53=0,"",Allgemein!N53)</f>
        <v/>
      </c>
      <c r="F88" s="165"/>
      <c r="G88" s="28"/>
      <c r="H88" s="28"/>
    </row>
    <row r="89" spans="1:8" s="12" customFormat="1" hidden="1" x14ac:dyDescent="0.2">
      <c r="A89" s="22" t="str">
        <f>IF(Allgemein!P54=0,"",Allgemein!P54)</f>
        <v/>
      </c>
      <c r="B89" s="27"/>
      <c r="C89" s="28"/>
      <c r="E89" s="163" t="str">
        <f>IF(Allgemein!N54=0,"",Allgemein!N54)</f>
        <v/>
      </c>
      <c r="F89" s="165"/>
      <c r="G89" s="28"/>
      <c r="H89" s="28"/>
    </row>
    <row r="90" spans="1:8" s="12" customFormat="1" hidden="1" x14ac:dyDescent="0.2">
      <c r="A90" s="22" t="str">
        <f>IF(Allgemein!P55=0,"",Allgemein!P55)</f>
        <v/>
      </c>
      <c r="B90" s="27"/>
      <c r="C90" s="28"/>
      <c r="E90" s="163" t="str">
        <f>IF(Allgemein!N55=0,"",Allgemein!N55)</f>
        <v/>
      </c>
      <c r="F90" s="165"/>
      <c r="G90" s="28"/>
      <c r="H90" s="28"/>
    </row>
    <row r="91" spans="1:8" s="12" customFormat="1" hidden="1" x14ac:dyDescent="0.2">
      <c r="A91" s="22" t="str">
        <f>IF(Allgemein!P56=0,"",Allgemein!P56)</f>
        <v/>
      </c>
      <c r="B91" s="27"/>
      <c r="C91" s="28"/>
      <c r="E91" s="163" t="str">
        <f>IF(Allgemein!N56=0,"",Allgemein!N56)</f>
        <v/>
      </c>
      <c r="F91" s="165"/>
      <c r="G91" s="28"/>
      <c r="H91" s="28"/>
    </row>
    <row r="92" spans="1:8" s="12" customFormat="1" hidden="1" x14ac:dyDescent="0.2">
      <c r="A92" s="22" t="str">
        <f>IF(Allgemein!P57=0,"",Allgemein!P57)</f>
        <v/>
      </c>
      <c r="B92" s="27"/>
      <c r="C92" s="28"/>
      <c r="E92" s="163" t="str">
        <f>IF(Allgemein!N57=0,"",Allgemein!N57)</f>
        <v/>
      </c>
      <c r="F92" s="165"/>
      <c r="G92" s="28"/>
      <c r="H92" s="28"/>
    </row>
    <row r="93" spans="1:8" s="12" customFormat="1" hidden="1" x14ac:dyDescent="0.2">
      <c r="A93" s="22" t="str">
        <f>IF(Allgemein!P58=0,"",Allgemein!P58)</f>
        <v/>
      </c>
      <c r="B93" s="27"/>
      <c r="C93" s="28"/>
      <c r="E93" s="163" t="str">
        <f>IF(Allgemein!N58=0,"",Allgemein!N58)</f>
        <v/>
      </c>
      <c r="F93" s="165"/>
      <c r="G93" s="28"/>
      <c r="H93" s="28"/>
    </row>
    <row r="94" spans="1:8" s="12" customFormat="1" hidden="1" x14ac:dyDescent="0.2">
      <c r="A94" s="22" t="str">
        <f>IF(Allgemein!P59=0,"",Allgemein!P59)</f>
        <v/>
      </c>
      <c r="B94" s="27"/>
      <c r="C94" s="28"/>
      <c r="E94" s="163" t="str">
        <f>IF(Allgemein!N59=0,"",Allgemein!N59)</f>
        <v/>
      </c>
      <c r="F94" s="165"/>
      <c r="G94" s="28"/>
      <c r="H94" s="28"/>
    </row>
    <row r="95" spans="1:8" s="12" customFormat="1" hidden="1" x14ac:dyDescent="0.2">
      <c r="A95" s="22" t="str">
        <f>IF(Allgemein!P60=0,"",Allgemein!P60)</f>
        <v/>
      </c>
      <c r="B95" s="27"/>
      <c r="C95" s="28"/>
      <c r="E95" s="163" t="str">
        <f>IF(Allgemein!N60=0,"",Allgemein!N60)</f>
        <v/>
      </c>
      <c r="F95" s="165"/>
      <c r="G95" s="28"/>
      <c r="H95" s="28"/>
    </row>
    <row r="96" spans="1:8" s="12" customFormat="1" hidden="1" x14ac:dyDescent="0.2">
      <c r="A96" s="22" t="str">
        <f>IF(Allgemein!P61=0,"",Allgemein!P61)</f>
        <v/>
      </c>
      <c r="B96" s="27"/>
      <c r="C96" s="28"/>
      <c r="E96" s="163" t="str">
        <f>IF(Allgemein!N61=0,"",Allgemein!N61)</f>
        <v/>
      </c>
      <c r="F96" s="165"/>
      <c r="G96" s="28"/>
      <c r="H96" s="28"/>
    </row>
    <row r="97" spans="1:43" s="12" customFormat="1" hidden="1" x14ac:dyDescent="0.2">
      <c r="A97" s="22" t="str">
        <f>IF(Allgemein!P62=0,"",Allgemein!P62)</f>
        <v/>
      </c>
      <c r="B97" s="27"/>
      <c r="C97" s="28"/>
      <c r="E97" s="163" t="str">
        <f>IF(Allgemein!N62=0,"",Allgemein!N62)</f>
        <v/>
      </c>
      <c r="F97" s="165"/>
      <c r="G97" s="28"/>
      <c r="H97" s="28"/>
    </row>
    <row r="98" spans="1:43" s="12" customFormat="1" hidden="1" x14ac:dyDescent="0.2">
      <c r="A98" s="22" t="str">
        <f>IF(Allgemein!P63=0,"",Allgemein!P63)</f>
        <v/>
      </c>
      <c r="B98" s="27"/>
      <c r="C98" s="28"/>
      <c r="E98" s="163" t="str">
        <f>IF(Allgemein!N63=0,"",Allgemein!N63)</f>
        <v/>
      </c>
      <c r="F98" s="165"/>
      <c r="G98" s="28"/>
      <c r="H98" s="28"/>
    </row>
    <row r="99" spans="1:43" s="12" customFormat="1" hidden="1" x14ac:dyDescent="0.2">
      <c r="A99" s="22" t="str">
        <f>IF(Allgemein!P64=0,"",Allgemein!P64)</f>
        <v/>
      </c>
      <c r="B99" s="27"/>
      <c r="C99" s="28"/>
      <c r="E99" s="163" t="str">
        <f>IF(Allgemein!N64=0,"",Allgemein!N64)</f>
        <v/>
      </c>
      <c r="F99" s="165"/>
      <c r="G99" s="28"/>
      <c r="H99" s="28"/>
    </row>
    <row r="100" spans="1:43" s="12" customFormat="1" hidden="1" x14ac:dyDescent="0.2">
      <c r="A100" s="22" t="str">
        <f>IF(Allgemein!P65=0,"",Allgemein!P65)</f>
        <v/>
      </c>
      <c r="B100" s="27"/>
      <c r="C100" s="28"/>
      <c r="E100" s="163" t="str">
        <f>IF(Allgemein!N65=0,"",Allgemein!N65)</f>
        <v/>
      </c>
      <c r="F100" s="165"/>
      <c r="G100" s="28"/>
      <c r="H100" s="28"/>
    </row>
    <row r="101" spans="1:43" s="12" customFormat="1" hidden="1" x14ac:dyDescent="0.2">
      <c r="A101" s="22" t="str">
        <f>IF(Allgemein!P66=0,"",Allgemein!P66)</f>
        <v/>
      </c>
      <c r="B101" s="27"/>
      <c r="C101" s="28"/>
      <c r="E101" s="163" t="str">
        <f>IF(Allgemein!N66=0,"",Allgemein!N66)</f>
        <v/>
      </c>
      <c r="F101" s="165"/>
      <c r="G101" s="28"/>
      <c r="H101" s="28"/>
    </row>
    <row r="102" spans="1:43" s="12" customFormat="1" hidden="1" x14ac:dyDescent="0.2">
      <c r="A102" s="22" t="str">
        <f>IF(Allgemein!P67=0,"",Allgemein!P67)</f>
        <v/>
      </c>
      <c r="B102" s="27"/>
      <c r="C102" s="28"/>
      <c r="E102" s="163" t="str">
        <f>IF(Allgemein!N67=0,"",Allgemein!N67)</f>
        <v/>
      </c>
      <c r="F102" s="165"/>
      <c r="G102" s="28"/>
      <c r="H102" s="28"/>
    </row>
    <row r="103" spans="1:43" s="12" customFormat="1" hidden="1" x14ac:dyDescent="0.2">
      <c r="A103" s="22" t="str">
        <f>IF(Allgemein!P68=0,"",Allgemein!P68)</f>
        <v/>
      </c>
      <c r="B103" s="27"/>
      <c r="C103" s="28"/>
      <c r="E103" s="163" t="str">
        <f>IF(Allgemein!N68=0,"",Allgemein!N68)</f>
        <v/>
      </c>
      <c r="F103" s="165"/>
      <c r="G103" s="28"/>
      <c r="H103" s="28"/>
    </row>
    <row r="104" spans="1:43" s="12" customFormat="1" hidden="1" x14ac:dyDescent="0.2">
      <c r="A104" s="13"/>
      <c r="B104" s="13"/>
      <c r="C104" s="13"/>
    </row>
    <row r="105" spans="1:43" s="12" customFormat="1" ht="107.1" customHeight="1" x14ac:dyDescent="0.2">
      <c r="A105" s="153" t="s">
        <v>80</v>
      </c>
      <c r="B105" s="155"/>
      <c r="C105" s="74"/>
      <c r="D105" s="34" t="str">
        <f>Allgemein!C43</f>
        <v>Arbeitsergebnisse</v>
      </c>
      <c r="E105" s="34" t="s">
        <v>363</v>
      </c>
      <c r="F105" s="34" t="str">
        <f>Allgemein!C44</f>
        <v>Projektdokumentation</v>
      </c>
      <c r="G105" s="34" t="str">
        <f>Allgemein!C45</f>
        <v>IT-System- und Dokumentenmanagement</v>
      </c>
      <c r="H105" s="34" t="str">
        <f>Allgemein!C46</f>
        <v>Altprojektdatenbank</v>
      </c>
      <c r="I105" s="34" t="str">
        <f>Allgemein!C47</f>
        <v>Projektfeinplanung (Arbeitspakete - Git Tickets)</v>
      </c>
      <c r="J105" s="34" t="str">
        <f>Allgemein!C48</f>
        <v>Projektgrobplanung</v>
      </c>
      <c r="K105" s="34" t="str">
        <f>Allgemein!C49</f>
        <v>Rechnungsmanagement</v>
      </c>
      <c r="L105" s="34" t="str">
        <f>Allgemein!C50</f>
        <v>Projektbasierte Risikoanalyse</v>
      </c>
      <c r="M105" s="34" t="str">
        <f>Allgemein!C51</f>
        <v>Wiki Wissensdatenbank</v>
      </c>
      <c r="N105" s="34" t="str">
        <f>Allgemein!C52</f>
        <v>Source Code</v>
      </c>
      <c r="O105" s="34" t="str">
        <f>Allgemein!C53</f>
        <v>Missionsdaten</v>
      </c>
      <c r="P105" s="34" t="str">
        <f>Allgemein!C54</f>
        <v>Schlüsselmaterial Mission</v>
      </c>
      <c r="Q105" s="34">
        <f>Allgemein!C56</f>
        <v>0</v>
      </c>
      <c r="R105" s="34">
        <f>Allgemein!C57</f>
        <v>0</v>
      </c>
      <c r="S105" s="34">
        <f>Allgemein!C58</f>
        <v>0</v>
      </c>
      <c r="T105" s="34">
        <f>Allgemein!C59</f>
        <v>0</v>
      </c>
      <c r="U105" s="34">
        <f>Allgemein!C60</f>
        <v>0</v>
      </c>
      <c r="V105" s="34">
        <f>Allgemein!C61</f>
        <v>0</v>
      </c>
      <c r="W105" s="34">
        <f>Allgemein!C62</f>
        <v>0</v>
      </c>
      <c r="X105" s="34">
        <f>Allgemein!C63</f>
        <v>0</v>
      </c>
      <c r="Y105" s="34">
        <f>Allgemein!C64</f>
        <v>0</v>
      </c>
      <c r="Z105" s="34">
        <f>Allgemein!C65</f>
        <v>0</v>
      </c>
      <c r="AA105" s="34">
        <f>Allgemein!C66</f>
        <v>0</v>
      </c>
      <c r="AB105" s="34">
        <f>Allgemein!C67</f>
        <v>0</v>
      </c>
      <c r="AC105" s="34">
        <f>Allgemein!C68</f>
        <v>0</v>
      </c>
      <c r="AD105" s="34">
        <f>Allgemein!C69</f>
        <v>0</v>
      </c>
      <c r="AE105" s="34">
        <f>Allgemein!C70</f>
        <v>0</v>
      </c>
      <c r="AF105" s="34">
        <f>Allgemein!C71</f>
        <v>0</v>
      </c>
      <c r="AG105" s="34">
        <f>Allgemein!C72</f>
        <v>0</v>
      </c>
      <c r="AH105" s="34">
        <f>Allgemein!C73</f>
        <v>0</v>
      </c>
      <c r="AI105" s="34">
        <f>Allgemein!C74</f>
        <v>0</v>
      </c>
      <c r="AJ105" s="34">
        <f>Allgemein!C75</f>
        <v>0</v>
      </c>
      <c r="AK105" s="34">
        <f>Allgemein!C76</f>
        <v>0</v>
      </c>
      <c r="AL105" s="34">
        <f>Allgemein!C77</f>
        <v>0</v>
      </c>
      <c r="AM105" s="34">
        <f>Allgemein!C78</f>
        <v>0</v>
      </c>
      <c r="AN105" s="34">
        <f>Allgemein!C79</f>
        <v>0</v>
      </c>
      <c r="AO105" s="34">
        <f>Allgemein!C80</f>
        <v>0</v>
      </c>
      <c r="AP105" s="34">
        <f>Allgemein!C81</f>
        <v>0</v>
      </c>
      <c r="AQ105" s="34">
        <f>Allgemein!C82</f>
        <v>0</v>
      </c>
    </row>
    <row r="106" spans="1:43" s="12" customFormat="1" x14ac:dyDescent="0.2">
      <c r="A106" s="173" t="s">
        <v>278</v>
      </c>
      <c r="B106" s="173"/>
      <c r="C106" s="84"/>
      <c r="D106" s="115" t="s">
        <v>357</v>
      </c>
      <c r="E106" s="35"/>
      <c r="F106" s="35"/>
      <c r="G106" s="104"/>
      <c r="H106" s="35"/>
      <c r="I106" s="115" t="s">
        <v>357</v>
      </c>
      <c r="J106" s="104"/>
      <c r="K106" s="104"/>
      <c r="L106" s="104"/>
      <c r="M106" s="35"/>
      <c r="N106" s="115" t="s">
        <v>357</v>
      </c>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row>
    <row r="107" spans="1:43" s="12" customFormat="1" x14ac:dyDescent="0.2">
      <c r="A107" s="12" t="s">
        <v>279</v>
      </c>
      <c r="C107" s="84"/>
      <c r="D107" s="115" t="s">
        <v>357</v>
      </c>
      <c r="E107" s="35"/>
      <c r="F107" s="35"/>
      <c r="G107" s="104"/>
      <c r="H107" s="35"/>
      <c r="I107" s="115" t="s">
        <v>357</v>
      </c>
      <c r="J107" s="104"/>
      <c r="K107" s="104"/>
      <c r="L107" s="104"/>
      <c r="M107" s="35"/>
      <c r="N107" s="115" t="s">
        <v>357</v>
      </c>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row>
    <row r="108" spans="1:43" s="12" customFormat="1" x14ac:dyDescent="0.2">
      <c r="A108" s="173" t="s">
        <v>280</v>
      </c>
      <c r="B108" s="173"/>
      <c r="C108" s="85"/>
      <c r="D108" s="115" t="s">
        <v>357</v>
      </c>
      <c r="E108" s="35"/>
      <c r="F108" s="115" t="s">
        <v>357</v>
      </c>
      <c r="G108" s="104"/>
      <c r="H108" s="115" t="s">
        <v>357</v>
      </c>
      <c r="I108" s="115" t="s">
        <v>357</v>
      </c>
      <c r="J108" s="104"/>
      <c r="K108" s="104"/>
      <c r="L108" s="104"/>
      <c r="M108" s="115" t="s">
        <v>357</v>
      </c>
      <c r="N108" s="115" t="s">
        <v>357</v>
      </c>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row>
    <row r="109" spans="1:43" s="12" customFormat="1" x14ac:dyDescent="0.2">
      <c r="A109" s="173" t="s">
        <v>281</v>
      </c>
      <c r="B109" s="173"/>
      <c r="C109" s="84"/>
      <c r="D109" s="115" t="s">
        <v>357</v>
      </c>
      <c r="E109" s="35"/>
      <c r="F109" s="115" t="s">
        <v>357</v>
      </c>
      <c r="G109" s="104"/>
      <c r="H109" s="115" t="s">
        <v>357</v>
      </c>
      <c r="I109" s="115" t="s">
        <v>357</v>
      </c>
      <c r="J109" s="104"/>
      <c r="K109" s="104"/>
      <c r="L109" s="104"/>
      <c r="M109" s="115" t="s">
        <v>357</v>
      </c>
      <c r="N109" s="115" t="s">
        <v>357</v>
      </c>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row>
    <row r="110" spans="1:43" s="12" customFormat="1" x14ac:dyDescent="0.2">
      <c r="A110" s="173" t="s">
        <v>282</v>
      </c>
      <c r="B110" s="173"/>
      <c r="C110" s="84"/>
      <c r="D110" s="115" t="s">
        <v>357</v>
      </c>
      <c r="E110" s="35"/>
      <c r="F110" s="35"/>
      <c r="G110" s="104"/>
      <c r="H110" s="35"/>
      <c r="I110" s="35"/>
      <c r="J110" s="104"/>
      <c r="K110" s="104"/>
      <c r="L110" s="104"/>
      <c r="M110" s="35"/>
      <c r="N110" s="115" t="s">
        <v>357</v>
      </c>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row>
    <row r="111" spans="1:43" s="12" customFormat="1" x14ac:dyDescent="0.2">
      <c r="A111" s="173" t="s">
        <v>283</v>
      </c>
      <c r="B111" s="173"/>
      <c r="C111" s="84"/>
      <c r="D111" s="115" t="s">
        <v>357</v>
      </c>
      <c r="E111" s="35"/>
      <c r="F111" s="35"/>
      <c r="G111" s="104"/>
      <c r="H111" s="35"/>
      <c r="I111" s="35"/>
      <c r="J111" s="104"/>
      <c r="K111" s="104"/>
      <c r="L111" s="104"/>
      <c r="M111" s="35"/>
      <c r="N111" s="115" t="s">
        <v>357</v>
      </c>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row>
    <row r="112" spans="1:43" s="12" customFormat="1" x14ac:dyDescent="0.2">
      <c r="A112" s="84" t="s">
        <v>285</v>
      </c>
      <c r="B112" s="84"/>
      <c r="C112" s="84"/>
      <c r="D112" s="115" t="s">
        <v>357</v>
      </c>
      <c r="E112" s="35"/>
      <c r="F112" s="116"/>
      <c r="G112" s="104"/>
      <c r="H112" s="35"/>
      <c r="I112" s="115" t="s">
        <v>357</v>
      </c>
      <c r="J112" s="104"/>
      <c r="K112" s="104"/>
      <c r="L112" s="104"/>
      <c r="M112" s="35"/>
      <c r="N112" s="115" t="s">
        <v>357</v>
      </c>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row>
    <row r="113" spans="1:43" s="12" customFormat="1" x14ac:dyDescent="0.2">
      <c r="A113" s="84" t="s">
        <v>287</v>
      </c>
      <c r="B113" s="84"/>
      <c r="C113" s="84"/>
      <c r="D113" s="115" t="s">
        <v>357</v>
      </c>
      <c r="E113" s="35"/>
      <c r="F113" s="35"/>
      <c r="G113" s="104"/>
      <c r="H113" s="35"/>
      <c r="I113" s="35"/>
      <c r="J113" s="104"/>
      <c r="K113" s="104"/>
      <c r="L113" s="104"/>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row>
    <row r="114" spans="1:43" s="12" customFormat="1" x14ac:dyDescent="0.2">
      <c r="A114" s="84" t="s">
        <v>288</v>
      </c>
      <c r="B114" s="84"/>
      <c r="C114" s="84"/>
      <c r="D114" s="115" t="s">
        <v>357</v>
      </c>
      <c r="E114" s="35"/>
      <c r="F114" s="35"/>
      <c r="G114" s="104"/>
      <c r="H114" s="35"/>
      <c r="I114" s="35"/>
      <c r="J114" s="104"/>
      <c r="K114" s="104"/>
      <c r="L114" s="104"/>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row>
    <row r="115" spans="1:43" s="12" customFormat="1" x14ac:dyDescent="0.2">
      <c r="A115" s="84" t="s">
        <v>290</v>
      </c>
      <c r="B115" s="84"/>
      <c r="C115" s="84"/>
      <c r="D115" s="115" t="s">
        <v>357</v>
      </c>
      <c r="E115" s="35"/>
      <c r="F115" s="35"/>
      <c r="G115" s="104"/>
      <c r="H115" s="35"/>
      <c r="I115" s="35"/>
      <c r="J115" s="104"/>
      <c r="K115" s="104"/>
      <c r="L115" s="104"/>
      <c r="M115" s="35"/>
      <c r="N115" s="115" t="s">
        <v>357</v>
      </c>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row>
    <row r="116" spans="1:43" s="12" customFormat="1" x14ac:dyDescent="0.2">
      <c r="A116" s="84" t="s">
        <v>292</v>
      </c>
      <c r="B116" s="84"/>
      <c r="C116" s="84"/>
      <c r="D116" s="115" t="s">
        <v>357</v>
      </c>
      <c r="E116" s="35"/>
      <c r="F116" s="35"/>
      <c r="G116" s="104"/>
      <c r="H116" s="35"/>
      <c r="I116" s="35"/>
      <c r="J116" s="104"/>
      <c r="K116" s="104"/>
      <c r="L116" s="104"/>
      <c r="M116" s="35"/>
      <c r="N116" s="115" t="s">
        <v>357</v>
      </c>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row>
    <row r="117" spans="1:43" s="12" customFormat="1" x14ac:dyDescent="0.2">
      <c r="A117" s="84" t="s">
        <v>293</v>
      </c>
      <c r="B117" s="84"/>
      <c r="C117" s="84"/>
      <c r="D117" s="115" t="s">
        <v>357</v>
      </c>
      <c r="E117" s="35"/>
      <c r="F117" s="35"/>
      <c r="G117" s="104"/>
      <c r="H117" s="35"/>
      <c r="I117" s="35"/>
      <c r="J117" s="104"/>
      <c r="K117" s="104"/>
      <c r="L117" s="104"/>
      <c r="M117" s="35"/>
      <c r="N117" s="115" t="s">
        <v>357</v>
      </c>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row>
    <row r="118" spans="1:43" s="12" customFormat="1" x14ac:dyDescent="0.2">
      <c r="A118" s="84" t="s">
        <v>294</v>
      </c>
      <c r="B118" s="84"/>
      <c r="C118" s="84"/>
      <c r="D118" s="115" t="s">
        <v>357</v>
      </c>
      <c r="E118" s="35"/>
      <c r="F118" s="35"/>
      <c r="G118" s="104"/>
      <c r="H118" s="35"/>
      <c r="I118" s="35"/>
      <c r="J118" s="104"/>
      <c r="K118" s="104"/>
      <c r="L118" s="104"/>
      <c r="M118" s="35"/>
      <c r="N118" s="115" t="s">
        <v>357</v>
      </c>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row>
    <row r="119" spans="1:43" s="12" customFormat="1" x14ac:dyDescent="0.2">
      <c r="A119" s="84" t="s">
        <v>295</v>
      </c>
      <c r="B119" s="84"/>
      <c r="C119" s="84"/>
      <c r="D119" s="115" t="s">
        <v>357</v>
      </c>
      <c r="E119" s="35"/>
      <c r="F119" s="35"/>
      <c r="G119" s="104"/>
      <c r="H119" s="35"/>
      <c r="I119" s="35"/>
      <c r="J119" s="104"/>
      <c r="K119" s="104"/>
      <c r="L119" s="104"/>
      <c r="M119" s="35"/>
      <c r="N119" s="115" t="s">
        <v>357</v>
      </c>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row>
    <row r="120" spans="1:43" s="12" customFormat="1" x14ac:dyDescent="0.2">
      <c r="A120" s="84" t="s">
        <v>296</v>
      </c>
      <c r="B120" s="84"/>
      <c r="C120" s="84"/>
      <c r="D120" s="115" t="s">
        <v>357</v>
      </c>
      <c r="E120" s="35"/>
      <c r="F120" s="35"/>
      <c r="G120" s="104"/>
      <c r="H120" s="35"/>
      <c r="I120" s="35"/>
      <c r="J120" s="104"/>
      <c r="K120" s="104"/>
      <c r="L120" s="104"/>
      <c r="M120" s="35"/>
      <c r="N120" s="115" t="s">
        <v>357</v>
      </c>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row>
    <row r="121" spans="1:43" s="12" customFormat="1" x14ac:dyDescent="0.2">
      <c r="A121" s="84" t="s">
        <v>297</v>
      </c>
      <c r="B121" s="84"/>
      <c r="C121" s="84"/>
      <c r="D121" s="115" t="s">
        <v>357</v>
      </c>
      <c r="E121" s="35"/>
      <c r="F121" s="35"/>
      <c r="G121" s="104"/>
      <c r="H121" s="35"/>
      <c r="I121" s="35"/>
      <c r="J121" s="104"/>
      <c r="K121" s="104"/>
      <c r="L121" s="104"/>
      <c r="M121" s="35"/>
      <c r="N121" s="115" t="s">
        <v>357</v>
      </c>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row>
    <row r="122" spans="1:43" s="12" customFormat="1" x14ac:dyDescent="0.2">
      <c r="A122" s="84" t="s">
        <v>298</v>
      </c>
      <c r="B122" s="84"/>
      <c r="C122" s="84"/>
      <c r="D122" s="115" t="s">
        <v>357</v>
      </c>
      <c r="E122" s="35"/>
      <c r="F122" s="35"/>
      <c r="G122" s="104"/>
      <c r="H122" s="35"/>
      <c r="I122" s="35"/>
      <c r="J122" s="104"/>
      <c r="K122" s="104"/>
      <c r="L122" s="104"/>
      <c r="M122" s="35"/>
      <c r="N122" s="115" t="s">
        <v>357</v>
      </c>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row>
    <row r="123" spans="1:43" s="12" customFormat="1" x14ac:dyDescent="0.2">
      <c r="A123" s="84" t="s">
        <v>299</v>
      </c>
      <c r="B123" s="84"/>
      <c r="C123" s="84"/>
      <c r="D123" s="115" t="s">
        <v>357</v>
      </c>
      <c r="E123" s="35"/>
      <c r="F123" s="35"/>
      <c r="G123" s="104"/>
      <c r="H123" s="35"/>
      <c r="I123" s="35"/>
      <c r="J123" s="104"/>
      <c r="K123" s="104"/>
      <c r="L123" s="104"/>
      <c r="M123" s="35"/>
      <c r="N123" s="115" t="s">
        <v>357</v>
      </c>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row>
    <row r="124" spans="1:43" s="12" customFormat="1" x14ac:dyDescent="0.2">
      <c r="A124" s="84" t="s">
        <v>273</v>
      </c>
      <c r="B124" s="84"/>
      <c r="C124" s="85"/>
      <c r="D124" s="35"/>
      <c r="E124" s="35"/>
      <c r="F124" s="115" t="s">
        <v>357</v>
      </c>
      <c r="G124" s="104"/>
      <c r="H124" s="115" t="s">
        <v>357</v>
      </c>
      <c r="I124" s="35"/>
      <c r="J124" s="104"/>
      <c r="K124" s="104"/>
      <c r="L124" s="104"/>
      <c r="M124" s="115" t="s">
        <v>357</v>
      </c>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row>
    <row r="125" spans="1:43" s="12" customFormat="1" x14ac:dyDescent="0.2">
      <c r="A125" s="84" t="s">
        <v>274</v>
      </c>
      <c r="B125" s="84"/>
      <c r="C125" s="84"/>
      <c r="D125" s="35"/>
      <c r="E125" s="35"/>
      <c r="F125" s="115" t="s">
        <v>357</v>
      </c>
      <c r="G125" s="104"/>
      <c r="H125" s="115" t="s">
        <v>357</v>
      </c>
      <c r="I125" s="35"/>
      <c r="J125" s="104"/>
      <c r="K125" s="104"/>
      <c r="L125" s="104"/>
      <c r="M125" s="115" t="s">
        <v>357</v>
      </c>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row>
    <row r="126" spans="1:43" s="12" customFormat="1" x14ac:dyDescent="0.2">
      <c r="A126" s="84" t="s">
        <v>369</v>
      </c>
      <c r="B126" s="84"/>
      <c r="C126" s="84"/>
      <c r="D126" s="115" t="s">
        <v>357</v>
      </c>
      <c r="E126" s="35"/>
      <c r="F126" s="35"/>
      <c r="G126" s="104"/>
      <c r="H126" s="35"/>
      <c r="I126" s="35"/>
      <c r="J126" s="104"/>
      <c r="K126" s="104"/>
      <c r="L126" s="104"/>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row>
    <row r="127" spans="1:43" s="12" customFormat="1" x14ac:dyDescent="0.2">
      <c r="A127" s="84"/>
      <c r="B127" s="84"/>
      <c r="C127" s="84"/>
      <c r="D127" s="35"/>
      <c r="E127" s="35"/>
      <c r="F127" s="35"/>
      <c r="G127" s="104"/>
      <c r="H127" s="35"/>
      <c r="I127" s="35"/>
      <c r="J127" s="104"/>
      <c r="K127" s="104"/>
      <c r="L127" s="104"/>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row>
    <row r="128" spans="1:43" s="12" customFormat="1" x14ac:dyDescent="0.2">
      <c r="A128" s="84"/>
      <c r="B128" s="84"/>
      <c r="C128" s="84"/>
      <c r="D128" s="35"/>
      <c r="E128" s="35"/>
      <c r="F128" s="35"/>
      <c r="G128" s="104"/>
      <c r="H128" s="35"/>
      <c r="I128" s="35"/>
      <c r="J128" s="104"/>
      <c r="K128" s="104"/>
      <c r="L128" s="104"/>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row>
    <row r="129" spans="1:43" s="12" customFormat="1" x14ac:dyDescent="0.2">
      <c r="A129" s="84"/>
      <c r="B129" s="84"/>
      <c r="C129" s="84"/>
      <c r="D129" s="35"/>
      <c r="E129" s="35"/>
      <c r="F129" s="35"/>
      <c r="G129" s="104"/>
      <c r="H129" s="35"/>
      <c r="I129" s="35"/>
      <c r="J129" s="104"/>
      <c r="K129" s="104"/>
      <c r="L129" s="104"/>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row>
    <row r="130" spans="1:43" s="12" customFormat="1" x14ac:dyDescent="0.2">
      <c r="A130" s="84"/>
      <c r="B130" s="84"/>
      <c r="C130" s="84"/>
      <c r="D130" s="35"/>
      <c r="E130" s="35"/>
      <c r="F130" s="35"/>
      <c r="G130" s="104"/>
      <c r="H130" s="35"/>
      <c r="I130" s="35"/>
      <c r="J130" s="104"/>
      <c r="K130" s="104"/>
      <c r="L130" s="104"/>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row>
    <row r="131" spans="1:43" s="12" customFormat="1" x14ac:dyDescent="0.2">
      <c r="A131" s="84"/>
      <c r="B131" s="84"/>
      <c r="C131" s="84"/>
      <c r="D131" s="35"/>
      <c r="E131" s="35"/>
      <c r="F131" s="35"/>
      <c r="G131" s="104"/>
      <c r="H131" s="35"/>
      <c r="I131" s="35"/>
      <c r="J131" s="104"/>
      <c r="K131" s="104"/>
      <c r="L131" s="104"/>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row>
    <row r="132" spans="1:43" s="12" customFormat="1" x14ac:dyDescent="0.2">
      <c r="A132" s="84"/>
      <c r="B132" s="84"/>
      <c r="C132" s="84"/>
      <c r="D132" s="35"/>
      <c r="E132" s="35"/>
      <c r="F132" s="35"/>
      <c r="G132" s="104"/>
      <c r="H132" s="35"/>
      <c r="I132" s="35"/>
      <c r="J132" s="104"/>
      <c r="K132" s="104"/>
      <c r="L132" s="104"/>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row>
    <row r="133" spans="1:43" s="12" customFormat="1" x14ac:dyDescent="0.2">
      <c r="A133" s="84"/>
      <c r="B133" s="84"/>
      <c r="C133" s="84"/>
      <c r="D133" s="35"/>
      <c r="E133" s="35"/>
      <c r="F133" s="35"/>
      <c r="G133" s="104"/>
      <c r="H133" s="35"/>
      <c r="I133" s="35"/>
      <c r="J133" s="104"/>
      <c r="K133" s="104"/>
      <c r="L133" s="104"/>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row>
    <row r="134" spans="1:43" s="12" customFormat="1" x14ac:dyDescent="0.2">
      <c r="A134" s="84"/>
      <c r="B134" s="84"/>
      <c r="C134" s="84"/>
      <c r="D134" s="35"/>
      <c r="E134" s="35"/>
      <c r="F134" s="35"/>
      <c r="G134" s="104"/>
      <c r="H134" s="35"/>
      <c r="I134" s="35"/>
      <c r="J134" s="104"/>
      <c r="K134" s="104"/>
      <c r="L134" s="104"/>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row>
    <row r="135" spans="1:43" s="12" customFormat="1" x14ac:dyDescent="0.2">
      <c r="A135" s="84"/>
      <c r="B135" s="84"/>
      <c r="C135" s="84"/>
      <c r="D135" s="35"/>
      <c r="E135" s="35"/>
      <c r="F135" s="35"/>
      <c r="G135" s="104"/>
      <c r="H135" s="35"/>
      <c r="I135" s="35"/>
      <c r="J135" s="104"/>
      <c r="K135" s="104"/>
      <c r="L135" s="104"/>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row>
    <row r="136" spans="1:43" s="12" customFormat="1" x14ac:dyDescent="0.2">
      <c r="A136" s="84"/>
      <c r="B136" s="84"/>
      <c r="C136" s="84"/>
      <c r="D136" s="35"/>
      <c r="E136" s="35"/>
      <c r="F136" s="35"/>
      <c r="G136" s="104"/>
      <c r="H136" s="35"/>
      <c r="I136" s="35"/>
      <c r="J136" s="104"/>
      <c r="K136" s="104"/>
      <c r="L136" s="104"/>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row>
    <row r="137" spans="1:43" s="12" customFormat="1" x14ac:dyDescent="0.2">
      <c r="A137" s="84"/>
      <c r="B137" s="84"/>
      <c r="C137" s="84"/>
      <c r="D137" s="35"/>
      <c r="E137" s="35"/>
      <c r="F137" s="35"/>
      <c r="G137" s="104"/>
      <c r="H137" s="35"/>
      <c r="I137" s="35"/>
      <c r="J137" s="104"/>
      <c r="K137" s="104"/>
      <c r="L137" s="104"/>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row>
    <row r="138" spans="1:43" s="12" customFormat="1" x14ac:dyDescent="0.2">
      <c r="A138" s="84"/>
      <c r="B138" s="84"/>
      <c r="C138" s="84"/>
      <c r="D138" s="35"/>
      <c r="E138" s="35"/>
      <c r="F138" s="35"/>
      <c r="G138" s="104"/>
      <c r="H138" s="35"/>
      <c r="I138" s="35"/>
      <c r="J138" s="104"/>
      <c r="K138" s="104"/>
      <c r="L138" s="104"/>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row>
    <row r="139" spans="1:43" s="12" customFormat="1" x14ac:dyDescent="0.2">
      <c r="A139" s="84"/>
      <c r="B139" s="84"/>
      <c r="C139" s="84"/>
      <c r="D139" s="35"/>
      <c r="E139" s="35"/>
      <c r="F139" s="35"/>
      <c r="G139" s="104"/>
      <c r="H139" s="35"/>
      <c r="I139" s="35"/>
      <c r="J139" s="104"/>
      <c r="K139" s="104"/>
      <c r="L139" s="104"/>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row>
    <row r="140" spans="1:43" s="12" customFormat="1" x14ac:dyDescent="0.2">
      <c r="A140" s="84"/>
      <c r="B140" s="84"/>
      <c r="C140" s="84"/>
      <c r="D140" s="35"/>
      <c r="E140" s="35"/>
      <c r="F140" s="35"/>
      <c r="G140" s="104"/>
      <c r="H140" s="35"/>
      <c r="I140" s="35"/>
      <c r="J140" s="104"/>
      <c r="K140" s="104"/>
      <c r="L140" s="104"/>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row>
    <row r="141" spans="1:43" s="12" customFormat="1" x14ac:dyDescent="0.2">
      <c r="A141" s="84"/>
      <c r="B141" s="84"/>
      <c r="C141" s="84"/>
      <c r="D141" s="35"/>
      <c r="E141" s="35"/>
      <c r="F141" s="35"/>
      <c r="G141" s="104"/>
      <c r="H141" s="35"/>
      <c r="I141" s="35"/>
      <c r="J141" s="104"/>
      <c r="K141" s="104"/>
      <c r="L141" s="104"/>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row>
    <row r="142" spans="1:43" s="12" customFormat="1" x14ac:dyDescent="0.2">
      <c r="A142" s="84"/>
      <c r="B142" s="84"/>
      <c r="C142" s="84"/>
      <c r="D142" s="35"/>
      <c r="E142" s="35"/>
      <c r="F142" s="35"/>
      <c r="G142" s="104"/>
      <c r="H142" s="35"/>
      <c r="I142" s="35"/>
      <c r="J142" s="104"/>
      <c r="K142" s="104"/>
      <c r="L142" s="104"/>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row>
    <row r="143" spans="1:43" s="12" customFormat="1" x14ac:dyDescent="0.2">
      <c r="A143" s="84"/>
      <c r="B143" s="84"/>
      <c r="C143" s="84"/>
      <c r="D143" s="35"/>
      <c r="E143" s="35"/>
      <c r="F143" s="35"/>
      <c r="G143" s="104"/>
      <c r="H143" s="35"/>
      <c r="I143" s="35"/>
      <c r="J143" s="104"/>
      <c r="K143" s="104"/>
      <c r="L143" s="104"/>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row>
    <row r="144" spans="1:43" s="12" customFormat="1" x14ac:dyDescent="0.2">
      <c r="A144" s="84"/>
      <c r="B144" s="84"/>
      <c r="C144" s="84"/>
      <c r="D144" s="35"/>
      <c r="E144" s="35"/>
      <c r="F144" s="35"/>
      <c r="G144" s="104"/>
      <c r="H144" s="35"/>
      <c r="I144" s="35"/>
      <c r="J144" s="104"/>
      <c r="K144" s="104"/>
      <c r="L144" s="104"/>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row>
    <row r="145" spans="1:43" s="12" customFormat="1" x14ac:dyDescent="0.2">
      <c r="A145" s="84"/>
      <c r="B145" s="84"/>
      <c r="C145" s="84"/>
      <c r="D145" s="35"/>
      <c r="E145" s="35"/>
      <c r="F145" s="35"/>
      <c r="G145" s="104"/>
      <c r="H145" s="35"/>
      <c r="I145" s="35"/>
      <c r="J145" s="104"/>
      <c r="K145" s="104"/>
      <c r="L145" s="104"/>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row>
    <row r="146" spans="1:43" s="12" customFormat="1" x14ac:dyDescent="0.2">
      <c r="A146" s="109"/>
      <c r="B146" s="109"/>
      <c r="C146" s="109"/>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row>
    <row r="147" spans="1:43" s="12" customFormat="1" ht="18" customHeight="1" x14ac:dyDescent="0.2">
      <c r="D147" s="14"/>
      <c r="E147" s="14"/>
      <c r="F147" s="14"/>
      <c r="G147" s="14"/>
      <c r="H147" s="14"/>
      <c r="I147" s="14"/>
      <c r="J147" s="14"/>
      <c r="K147" s="14"/>
      <c r="L147" s="14"/>
      <c r="M147" s="14"/>
      <c r="N147" s="14"/>
    </row>
    <row r="148" spans="1:43" s="12" customFormat="1" ht="21" hidden="1" customHeight="1" x14ac:dyDescent="0.2">
      <c r="A148" s="168" t="s">
        <v>82</v>
      </c>
      <c r="B148" s="169"/>
      <c r="C148" s="169"/>
      <c r="D148" s="169"/>
      <c r="E148" s="169"/>
      <c r="F148" s="169"/>
      <c r="G148" s="169"/>
      <c r="H148" s="169"/>
      <c r="I148" s="169"/>
      <c r="J148" s="169"/>
      <c r="K148" s="169"/>
      <c r="L148" s="169"/>
      <c r="M148" s="170"/>
    </row>
    <row r="149" spans="1:43" s="12" customFormat="1" ht="18" hidden="1" customHeight="1" x14ac:dyDescent="0.2">
      <c r="A149" s="13"/>
      <c r="B149" s="13"/>
      <c r="C149" s="13"/>
      <c r="D149" s="13"/>
      <c r="E149" s="13"/>
      <c r="F149" s="13"/>
      <c r="G149" s="13"/>
      <c r="H149" s="13"/>
      <c r="I149" s="13"/>
      <c r="J149" s="13"/>
      <c r="L149" s="13"/>
      <c r="M149" s="13"/>
    </row>
    <row r="150" spans="1:43" s="12" customFormat="1" ht="25.5" hidden="1" customHeight="1" x14ac:dyDescent="0.2">
      <c r="A150" s="13"/>
      <c r="B150" s="156" t="s">
        <v>83</v>
      </c>
      <c r="C150" s="156"/>
      <c r="D150" s="156"/>
      <c r="E150" s="156"/>
      <c r="F150" s="156"/>
      <c r="G150" s="156"/>
      <c r="H150" s="156"/>
      <c r="I150" s="156"/>
      <c r="J150" s="13"/>
      <c r="L150" s="13"/>
      <c r="M150" s="13"/>
      <c r="O150" s="174" t="s">
        <v>84</v>
      </c>
      <c r="P150" s="174"/>
    </row>
    <row r="151" spans="1:43" s="12" customFormat="1" ht="25.5" hidden="1" customHeight="1" x14ac:dyDescent="0.2">
      <c r="A151" s="76" t="s">
        <v>85</v>
      </c>
      <c r="B151" s="110" t="s">
        <v>233</v>
      </c>
      <c r="C151" s="56" t="s">
        <v>181</v>
      </c>
      <c r="D151" s="56" t="s">
        <v>182</v>
      </c>
      <c r="E151" s="56" t="s">
        <v>182</v>
      </c>
      <c r="F151" s="56" t="s">
        <v>202</v>
      </c>
      <c r="G151" s="56"/>
      <c r="H151" s="74" t="s">
        <v>86</v>
      </c>
      <c r="I151" s="74" t="s">
        <v>86</v>
      </c>
      <c r="J151" s="56" t="s">
        <v>70</v>
      </c>
      <c r="K151" s="56" t="s">
        <v>87</v>
      </c>
      <c r="L151" s="56" t="s">
        <v>88</v>
      </c>
      <c r="M151" s="56" t="s">
        <v>89</v>
      </c>
      <c r="O151" s="61" t="s">
        <v>90</v>
      </c>
      <c r="P151" s="61" t="s">
        <v>91</v>
      </c>
    </row>
    <row r="152" spans="1:43" s="12" customFormat="1" ht="25.5" hidden="1" customHeight="1" x14ac:dyDescent="0.2">
      <c r="A152" s="57" t="s">
        <v>92</v>
      </c>
      <c r="B152" s="58"/>
      <c r="C152" s="58"/>
      <c r="D152" s="58"/>
      <c r="E152" s="58"/>
      <c r="F152" s="58"/>
      <c r="G152" s="58"/>
      <c r="H152" s="58"/>
      <c r="I152" s="58"/>
      <c r="J152" s="28"/>
      <c r="K152" s="28"/>
      <c r="L152" s="58"/>
      <c r="M152" s="58"/>
      <c r="O152" s="62" t="str">
        <f>IF(COUNT(B152:I152)='ISM Klassifizierung'!$J$14,IF(SUMPRODUCT((B152:I152&gt;=3)*(B152:I152&lt;&gt;0)*1)&gt;0,'ISM Klassifizierung'!$J$14-SUMPRODUCT((B152:I152&gt;=3)*(B152:I152&lt;&gt;0)*1),"Nein"),"Nein")</f>
        <v>Nein</v>
      </c>
      <c r="P152" s="62" t="str">
        <f>IF(M152="","",VLOOKUP(M152,'ISM Klassifizierung'!$K$4:$L$11,2,FALSE))</f>
        <v/>
      </c>
    </row>
    <row r="153" spans="1:43" s="12" customFormat="1" ht="25.5" hidden="1" customHeight="1" x14ac:dyDescent="0.2">
      <c r="A153" s="57" t="s">
        <v>93</v>
      </c>
      <c r="B153" s="58"/>
      <c r="C153" s="58"/>
      <c r="D153" s="58"/>
      <c r="E153" s="58"/>
      <c r="F153" s="58"/>
      <c r="G153" s="58"/>
      <c r="H153" s="58"/>
      <c r="I153" s="58"/>
      <c r="J153" s="28"/>
      <c r="K153" s="28"/>
      <c r="L153" s="58"/>
      <c r="M153" s="58"/>
      <c r="O153" s="62" t="str">
        <f>IF(COUNT(B153:I153)='ISM Klassifizierung'!$J$14,IF(SUMPRODUCT((B153:I153&gt;=3)*(B153:I153&lt;&gt;0)*1)&gt;0,'ISM Klassifizierung'!$J$14-SUMPRODUCT((B153:I153&gt;=3)*(B153:I153&lt;&gt;0)*1),"Nein"),"Nein")</f>
        <v>Nein</v>
      </c>
      <c r="P153" s="62" t="str">
        <f>IF(M153="","",VLOOKUP(M153,'ISM Klassifizierung'!$K$4:$L$11,2,FALSE))</f>
        <v/>
      </c>
    </row>
    <row r="154" spans="1:43" s="12" customFormat="1" ht="25.5" hidden="1" customHeight="1" x14ac:dyDescent="0.2">
      <c r="A154" s="59" t="s">
        <v>94</v>
      </c>
      <c r="B154" s="58"/>
      <c r="C154" s="58"/>
      <c r="D154" s="58"/>
      <c r="E154" s="58"/>
      <c r="F154" s="58"/>
      <c r="G154" s="58"/>
      <c r="H154" s="58"/>
      <c r="I154" s="58"/>
      <c r="J154" s="28"/>
      <c r="K154" s="28"/>
      <c r="L154" s="58"/>
      <c r="M154" s="58"/>
      <c r="O154" s="62" t="str">
        <f>IF(COUNT(B154:I154)='ISM Klassifizierung'!$J$14,IF(SUMPRODUCT((B154:I154&gt;=3)*(B154:I154&lt;&gt;0)*1)&gt;0,'ISM Klassifizierung'!$J$14-SUMPRODUCT((B154:I154&gt;=3)*(B154:I154&lt;&gt;0)*1),"Nein"),"Nein")</f>
        <v>Nein</v>
      </c>
      <c r="P154" s="62" t="str">
        <f>IF(M154="","",VLOOKUP(M154,'ISM Klassifizierung'!$K$4:$L$11,2,FALSE))</f>
        <v/>
      </c>
    </row>
    <row r="155" spans="1:43" s="12" customFormat="1" ht="25.5" hidden="1" customHeight="1" x14ac:dyDescent="0.2">
      <c r="A155" s="59" t="s">
        <v>95</v>
      </c>
      <c r="B155" s="58"/>
      <c r="C155" s="58"/>
      <c r="D155" s="58"/>
      <c r="E155" s="58"/>
      <c r="F155" s="58"/>
      <c r="G155" s="58"/>
      <c r="H155" s="58"/>
      <c r="I155" s="58"/>
      <c r="J155" s="28"/>
      <c r="K155" s="28"/>
      <c r="L155" s="58"/>
      <c r="M155" s="58"/>
      <c r="O155" s="62" t="str">
        <f>IF(COUNT(B155:I155)='ISM Klassifizierung'!$J$14,IF(SUMPRODUCT((B155:I155&gt;=3)*(B155:I155&lt;&gt;0)*1)&gt;0,'ISM Klassifizierung'!$J$14-SUMPRODUCT((B155:I155&gt;=3)*(B155:I155&lt;&gt;0)*1),"Nein"),"Nein")</f>
        <v>Nein</v>
      </c>
      <c r="P155" s="62" t="str">
        <f>IF(M155="","",VLOOKUP(M155,'ISM Klassifizierung'!$K$4:$L$11,2,FALSE))</f>
        <v/>
      </c>
    </row>
    <row r="156" spans="1:43" s="12" customFormat="1" ht="25.5" hidden="1" customHeight="1" x14ac:dyDescent="0.2">
      <c r="A156" s="13"/>
      <c r="B156" s="13"/>
      <c r="C156" s="13"/>
      <c r="D156" s="13"/>
      <c r="E156" s="13"/>
      <c r="F156" s="13"/>
      <c r="G156" s="13"/>
      <c r="H156" s="13"/>
      <c r="I156" s="13"/>
      <c r="J156" s="13"/>
      <c r="L156" s="13"/>
      <c r="M156" s="13"/>
      <c r="O156" s="63" t="str">
        <f>IF(AND(O152="Nein",O153="Nein",O154="Nein",O155="Nein"),"",MIN(O152:P155))</f>
        <v/>
      </c>
      <c r="P156" s="64"/>
    </row>
    <row r="157" spans="1:43" s="12" customFormat="1" ht="25.5" hidden="1" customHeight="1" x14ac:dyDescent="0.2">
      <c r="A157" s="13"/>
      <c r="B157" s="13"/>
      <c r="C157" s="13"/>
      <c r="D157" s="13"/>
      <c r="E157" s="13"/>
      <c r="F157" s="13"/>
      <c r="G157" s="13"/>
      <c r="H157" s="13"/>
      <c r="I157" s="13"/>
      <c r="J157" s="13"/>
      <c r="K157" s="60" t="s">
        <v>96</v>
      </c>
      <c r="L157" s="56"/>
      <c r="M157" s="13"/>
    </row>
    <row r="158" spans="1:43" s="12" customFormat="1" hidden="1" x14ac:dyDescent="0.2"/>
    <row r="159" spans="1:43" s="12" customFormat="1" hidden="1" x14ac:dyDescent="0.2"/>
    <row r="160" spans="1:43" s="12" customFormat="1" hidden="1" x14ac:dyDescent="0.2"/>
    <row r="161" s="12" customFormat="1" hidden="1" x14ac:dyDescent="0.2"/>
    <row r="162" s="12" customFormat="1" hidden="1" x14ac:dyDescent="0.2"/>
    <row r="163" s="12" customFormat="1" hidden="1" x14ac:dyDescent="0.2"/>
    <row r="164" s="12" customFormat="1" hidden="1" x14ac:dyDescent="0.2"/>
    <row r="165" s="12" customFormat="1" hidden="1" x14ac:dyDescent="0.2"/>
    <row r="166" s="12" customFormat="1" hidden="1" x14ac:dyDescent="0.2"/>
    <row r="167" s="12" customFormat="1" hidden="1" x14ac:dyDescent="0.2"/>
    <row r="168" s="12" customFormat="1" hidden="1" x14ac:dyDescent="0.2"/>
    <row r="169" s="12" customFormat="1" hidden="1" x14ac:dyDescent="0.2"/>
    <row r="170" s="12" customFormat="1" hidden="1" x14ac:dyDescent="0.2"/>
    <row r="171" s="12" customFormat="1" hidden="1" x14ac:dyDescent="0.2"/>
    <row r="172" s="12" customFormat="1" hidden="1" x14ac:dyDescent="0.2"/>
    <row r="173" s="12" customFormat="1" hidden="1" x14ac:dyDescent="0.2"/>
    <row r="174" s="12" customFormat="1" hidden="1" x14ac:dyDescent="0.2"/>
    <row r="175" s="12" customFormat="1" hidden="1" x14ac:dyDescent="0.2"/>
    <row r="176" s="12" customFormat="1" hidden="1" x14ac:dyDescent="0.2"/>
    <row r="177" s="12" customFormat="1" hidden="1" x14ac:dyDescent="0.2"/>
    <row r="178" s="12" customFormat="1" hidden="1" x14ac:dyDescent="0.2"/>
    <row r="179" s="12" customFormat="1" hidden="1" x14ac:dyDescent="0.2"/>
    <row r="180" s="12" customFormat="1" hidden="1" x14ac:dyDescent="0.2"/>
    <row r="181" s="12" customFormat="1" hidden="1" x14ac:dyDescent="0.2"/>
    <row r="182" s="12" customFormat="1" hidden="1" x14ac:dyDescent="0.2"/>
    <row r="183" s="12" customFormat="1" hidden="1" x14ac:dyDescent="0.2"/>
    <row r="184" s="12" customFormat="1" hidden="1" x14ac:dyDescent="0.2"/>
    <row r="185" s="12" customFormat="1" hidden="1" x14ac:dyDescent="0.2"/>
    <row r="186" s="12" customFormat="1" hidden="1" x14ac:dyDescent="0.2"/>
    <row r="187" s="12" customFormat="1" hidden="1" x14ac:dyDescent="0.2"/>
    <row r="188" s="12" customFormat="1" hidden="1" x14ac:dyDescent="0.2"/>
    <row r="189" s="12" customFormat="1" hidden="1" x14ac:dyDescent="0.2"/>
    <row r="190" s="12" customFormat="1" hidden="1" x14ac:dyDescent="0.2"/>
    <row r="191" s="12" customFormat="1" hidden="1" x14ac:dyDescent="0.2"/>
    <row r="192" s="12" customFormat="1" hidden="1" x14ac:dyDescent="0.2"/>
    <row r="193" s="12" customFormat="1" hidden="1" x14ac:dyDescent="0.2"/>
    <row r="194" s="12" customFormat="1" hidden="1" x14ac:dyDescent="0.2"/>
    <row r="195" s="12" customFormat="1" hidden="1" x14ac:dyDescent="0.2"/>
    <row r="196" s="12" customFormat="1" hidden="1" x14ac:dyDescent="0.2"/>
    <row r="197" s="12" customFormat="1" hidden="1" x14ac:dyDescent="0.2"/>
    <row r="198" s="12" customFormat="1" hidden="1" x14ac:dyDescent="0.2"/>
    <row r="199" s="12" customFormat="1" hidden="1" x14ac:dyDescent="0.2"/>
    <row r="200" s="12" customFormat="1" hidden="1" x14ac:dyDescent="0.2"/>
    <row r="201" s="12" customFormat="1" hidden="1" x14ac:dyDescent="0.2"/>
    <row r="202" s="12" customFormat="1" hidden="1" x14ac:dyDescent="0.2"/>
    <row r="203" s="12" customFormat="1" hidden="1" x14ac:dyDescent="0.2"/>
    <row r="204" s="12" customFormat="1" hidden="1" x14ac:dyDescent="0.2"/>
    <row r="205" s="12" customFormat="1" hidden="1" x14ac:dyDescent="0.2"/>
    <row r="206" s="12" customFormat="1" hidden="1" x14ac:dyDescent="0.2"/>
    <row r="207" s="12" customFormat="1" hidden="1" x14ac:dyDescent="0.2"/>
    <row r="208" s="12" customFormat="1" hidden="1" x14ac:dyDescent="0.2"/>
    <row r="209" s="12" customFormat="1" hidden="1" x14ac:dyDescent="0.2"/>
    <row r="210" s="12" customFormat="1" hidden="1" x14ac:dyDescent="0.2"/>
    <row r="211" s="12" customFormat="1" hidden="1" x14ac:dyDescent="0.2"/>
    <row r="212" s="12" customFormat="1" hidden="1" x14ac:dyDescent="0.2"/>
    <row r="213" s="12" customFormat="1" hidden="1" x14ac:dyDescent="0.2"/>
    <row r="214" s="12" customFormat="1" hidden="1" x14ac:dyDescent="0.2"/>
    <row r="215" s="12" customFormat="1" hidden="1" x14ac:dyDescent="0.2"/>
    <row r="216" s="12" customFormat="1" hidden="1" x14ac:dyDescent="0.2"/>
    <row r="217" s="12" customFormat="1" hidden="1" x14ac:dyDescent="0.2"/>
    <row r="218" s="12" customFormat="1" hidden="1" x14ac:dyDescent="0.2"/>
    <row r="219" s="12" customFormat="1" hidden="1" x14ac:dyDescent="0.2"/>
    <row r="220" s="12" customFormat="1" hidden="1" x14ac:dyDescent="0.2"/>
    <row r="221" s="12" customFormat="1" hidden="1" x14ac:dyDescent="0.2"/>
    <row r="222" s="12" customFormat="1" hidden="1" x14ac:dyDescent="0.2"/>
    <row r="223" s="12" customFormat="1" hidden="1" x14ac:dyDescent="0.2"/>
    <row r="224" s="12" customFormat="1" hidden="1" x14ac:dyDescent="0.2"/>
    <row r="225" s="12" customFormat="1" hidden="1" x14ac:dyDescent="0.2"/>
  </sheetData>
  <mergeCells count="88">
    <mergeCell ref="A111:B111"/>
    <mergeCell ref="A148:M148"/>
    <mergeCell ref="B150:I150"/>
    <mergeCell ref="O150:P150"/>
    <mergeCell ref="E103:F103"/>
    <mergeCell ref="A105:B105"/>
    <mergeCell ref="A106:B106"/>
    <mergeCell ref="A108:B108"/>
    <mergeCell ref="A109:B109"/>
    <mergeCell ref="A110:B110"/>
    <mergeCell ref="E102:F102"/>
    <mergeCell ref="E91:F91"/>
    <mergeCell ref="E92:F92"/>
    <mergeCell ref="E93:F93"/>
    <mergeCell ref="E94:F94"/>
    <mergeCell ref="E95:F95"/>
    <mergeCell ref="E96:F96"/>
    <mergeCell ref="E97:F97"/>
    <mergeCell ref="E98:F98"/>
    <mergeCell ref="E99:F99"/>
    <mergeCell ref="E100:F100"/>
    <mergeCell ref="E101:F101"/>
    <mergeCell ref="E90:F90"/>
    <mergeCell ref="E79:F79"/>
    <mergeCell ref="E80:F80"/>
    <mergeCell ref="E81:F81"/>
    <mergeCell ref="E82:F82"/>
    <mergeCell ref="E83:F83"/>
    <mergeCell ref="E84:F84"/>
    <mergeCell ref="E85:F85"/>
    <mergeCell ref="E86:F86"/>
    <mergeCell ref="E87:F87"/>
    <mergeCell ref="E88:F88"/>
    <mergeCell ref="E89:F89"/>
    <mergeCell ref="E78:F78"/>
    <mergeCell ref="C71:E71"/>
    <mergeCell ref="G71:J71"/>
    <mergeCell ref="C72:E72"/>
    <mergeCell ref="G72:J72"/>
    <mergeCell ref="C73:E73"/>
    <mergeCell ref="G73:J73"/>
    <mergeCell ref="C74:E74"/>
    <mergeCell ref="G74:J74"/>
    <mergeCell ref="C75:E75"/>
    <mergeCell ref="G75:J75"/>
    <mergeCell ref="E77:F77"/>
    <mergeCell ref="C68:E68"/>
    <mergeCell ref="G68:J68"/>
    <mergeCell ref="C69:E69"/>
    <mergeCell ref="G69:J69"/>
    <mergeCell ref="C70:E70"/>
    <mergeCell ref="G70:J70"/>
    <mergeCell ref="C65:E65"/>
    <mergeCell ref="G65:J65"/>
    <mergeCell ref="C66:E66"/>
    <mergeCell ref="G66:J66"/>
    <mergeCell ref="C67:E67"/>
    <mergeCell ref="G67:J67"/>
    <mergeCell ref="C62:E62"/>
    <mergeCell ref="G62:J62"/>
    <mergeCell ref="C63:E63"/>
    <mergeCell ref="G63:J63"/>
    <mergeCell ref="C64:E64"/>
    <mergeCell ref="G64:J64"/>
    <mergeCell ref="C59:E59"/>
    <mergeCell ref="G59:J59"/>
    <mergeCell ref="C60:E60"/>
    <mergeCell ref="G60:J60"/>
    <mergeCell ref="C61:E61"/>
    <mergeCell ref="G61:J61"/>
    <mergeCell ref="C56:E56"/>
    <mergeCell ref="G56:J56"/>
    <mergeCell ref="C57:E57"/>
    <mergeCell ref="G57:J57"/>
    <mergeCell ref="C58:E58"/>
    <mergeCell ref="G58:J58"/>
    <mergeCell ref="B6:F6"/>
    <mergeCell ref="A9:J9"/>
    <mergeCell ref="A53:R53"/>
    <mergeCell ref="K54:R54"/>
    <mergeCell ref="C55:E55"/>
    <mergeCell ref="G55:J55"/>
    <mergeCell ref="B5:F5"/>
    <mergeCell ref="B1:E1"/>
    <mergeCell ref="J1:K1"/>
    <mergeCell ref="B2:F2"/>
    <mergeCell ref="B3:F3"/>
    <mergeCell ref="B4:F4"/>
  </mergeCells>
  <conditionalFormatting sqref="J13:J39 J44:J51">
    <cfRule type="expression" dxfId="524" priority="126">
      <formula>$B13="nein"</formula>
    </cfRule>
  </conditionalFormatting>
  <conditionalFormatting sqref="J12 C12:I51">
    <cfRule type="expression" dxfId="523" priority="125">
      <formula>$B12="nein"</formula>
    </cfRule>
  </conditionalFormatting>
  <conditionalFormatting sqref="C16:D51 F16:F51">
    <cfRule type="expression" dxfId="522" priority="124">
      <formula>$B16="nein"</formula>
    </cfRule>
  </conditionalFormatting>
  <conditionalFormatting sqref="J40:J43">
    <cfRule type="expression" dxfId="521" priority="123">
      <formula>$B40="nein"</formula>
    </cfRule>
  </conditionalFormatting>
  <conditionalFormatting sqref="G12:I51">
    <cfRule type="expression" dxfId="520" priority="122">
      <formula>$B12="nein"</formula>
    </cfRule>
  </conditionalFormatting>
  <conditionalFormatting sqref="E12:E51">
    <cfRule type="expression" dxfId="519" priority="121">
      <formula>$B12="nein"</formula>
    </cfRule>
  </conditionalFormatting>
  <conditionalFormatting sqref="O105:O146">
    <cfRule type="expression" dxfId="518" priority="63">
      <formula>O$105=0</formula>
    </cfRule>
  </conditionalFormatting>
  <conditionalFormatting sqref="P105:P146">
    <cfRule type="expression" dxfId="517" priority="62">
      <formula>P$105=0</formula>
    </cfRule>
  </conditionalFormatting>
  <conditionalFormatting sqref="Q105:Q146">
    <cfRule type="expression" dxfId="516" priority="61">
      <formula>Q$105=0</formula>
    </cfRule>
  </conditionalFormatting>
  <conditionalFormatting sqref="R105:R146">
    <cfRule type="expression" dxfId="515" priority="60">
      <formula>R$105=0</formula>
    </cfRule>
  </conditionalFormatting>
  <conditionalFormatting sqref="S105:S146">
    <cfRule type="expression" dxfId="514" priority="59">
      <formula>S$105=0</formula>
    </cfRule>
  </conditionalFormatting>
  <conditionalFormatting sqref="T105:T146">
    <cfRule type="expression" dxfId="513" priority="58">
      <formula>T$105=0</formula>
    </cfRule>
  </conditionalFormatting>
  <conditionalFormatting sqref="U105:U146">
    <cfRule type="expression" dxfId="512" priority="57">
      <formula>U$105=0</formula>
    </cfRule>
  </conditionalFormatting>
  <conditionalFormatting sqref="V105:V146">
    <cfRule type="expression" dxfId="511" priority="56">
      <formula>V$105=0</formula>
    </cfRule>
  </conditionalFormatting>
  <conditionalFormatting sqref="W105:W146">
    <cfRule type="expression" dxfId="510" priority="55">
      <formula>W$105=0</formula>
    </cfRule>
  </conditionalFormatting>
  <conditionalFormatting sqref="X105:X146">
    <cfRule type="expression" dxfId="509" priority="54">
      <formula>X$105=0</formula>
    </cfRule>
  </conditionalFormatting>
  <conditionalFormatting sqref="Y105:Y146">
    <cfRule type="expression" dxfId="508" priority="53">
      <formula>Y$105=0</formula>
    </cfRule>
  </conditionalFormatting>
  <conditionalFormatting sqref="Z105:Z146">
    <cfRule type="expression" dxfId="507" priority="52">
      <formula>Z$105=0</formula>
    </cfRule>
  </conditionalFormatting>
  <conditionalFormatting sqref="AA105:AA146">
    <cfRule type="expression" dxfId="506" priority="51">
      <formula>AA$105=0</formula>
    </cfRule>
  </conditionalFormatting>
  <conditionalFormatting sqref="AB105:AB146">
    <cfRule type="expression" dxfId="505" priority="50">
      <formula>AB$105=0</formula>
    </cfRule>
  </conditionalFormatting>
  <conditionalFormatting sqref="AC105:AC146">
    <cfRule type="expression" dxfId="504" priority="49">
      <formula>AC$105=0</formula>
    </cfRule>
  </conditionalFormatting>
  <conditionalFormatting sqref="AD105:AD146">
    <cfRule type="expression" dxfId="503" priority="48">
      <formula>AD$105=0</formula>
    </cfRule>
  </conditionalFormatting>
  <conditionalFormatting sqref="F56:F75">
    <cfRule type="expression" dxfId="502" priority="25">
      <formula>$L$157="-"</formula>
    </cfRule>
    <cfRule type="expression" dxfId="501" priority="120">
      <formula>$B56="nein"</formula>
    </cfRule>
  </conditionalFormatting>
  <conditionalFormatting sqref="F56:F75">
    <cfRule type="expression" dxfId="500" priority="119">
      <formula>$B56="nein"</formula>
    </cfRule>
  </conditionalFormatting>
  <conditionalFormatting sqref="C78:C85">
    <cfRule type="expression" dxfId="499" priority="118">
      <formula>$B78="nein"</formula>
    </cfRule>
  </conditionalFormatting>
  <conditionalFormatting sqref="C78:C85">
    <cfRule type="expression" dxfId="498" priority="117">
      <formula>$B78="nein"</formula>
    </cfRule>
  </conditionalFormatting>
  <conditionalFormatting sqref="C86:C103">
    <cfRule type="expression" dxfId="497" priority="116">
      <formula>$B86="nein"</formula>
    </cfRule>
  </conditionalFormatting>
  <conditionalFormatting sqref="C86:C103">
    <cfRule type="expression" dxfId="496" priority="115">
      <formula>$B86="nein"</formula>
    </cfRule>
  </conditionalFormatting>
  <conditionalFormatting sqref="AE105:AE146">
    <cfRule type="expression" dxfId="495" priority="47">
      <formula>AE$105=0</formula>
    </cfRule>
  </conditionalFormatting>
  <conditionalFormatting sqref="AF105:AF146">
    <cfRule type="expression" dxfId="494" priority="46">
      <formula>AF$105=0</formula>
    </cfRule>
  </conditionalFormatting>
  <conditionalFormatting sqref="AG105:AG146">
    <cfRule type="expression" dxfId="493" priority="45">
      <formula>AG$105=0</formula>
    </cfRule>
  </conditionalFormatting>
  <conditionalFormatting sqref="AH105:AH146">
    <cfRule type="expression" dxfId="492" priority="44">
      <formula>AH$105=0</formula>
    </cfRule>
  </conditionalFormatting>
  <conditionalFormatting sqref="AI105:AI146">
    <cfRule type="expression" dxfId="491" priority="43">
      <formula>AI$105=0</formula>
    </cfRule>
  </conditionalFormatting>
  <conditionalFormatting sqref="AJ105:AJ146">
    <cfRule type="expression" dxfId="490" priority="42">
      <formula>AJ$105=0</formula>
    </cfRule>
  </conditionalFormatting>
  <conditionalFormatting sqref="AK105:AK146">
    <cfRule type="expression" dxfId="489" priority="41">
      <formula>AK$105=0</formula>
    </cfRule>
  </conditionalFormatting>
  <conditionalFormatting sqref="AL105:AL146">
    <cfRule type="expression" dxfId="488" priority="40">
      <formula>AL$105=0</formula>
    </cfRule>
  </conditionalFormatting>
  <conditionalFormatting sqref="AM105:AM146">
    <cfRule type="expression" dxfId="487" priority="39">
      <formula>AM$105=0</formula>
    </cfRule>
  </conditionalFormatting>
  <conditionalFormatting sqref="AN105:AN146">
    <cfRule type="expression" dxfId="486" priority="38">
      <formula>AN$105=0</formula>
    </cfRule>
  </conditionalFormatting>
  <conditionalFormatting sqref="AO105:AO146">
    <cfRule type="expression" dxfId="485" priority="37">
      <formula>AO$105=0</formula>
    </cfRule>
  </conditionalFormatting>
  <conditionalFormatting sqref="AP105:AP146">
    <cfRule type="expression" dxfId="484" priority="36">
      <formula>AP$105=0</formula>
    </cfRule>
  </conditionalFormatting>
  <conditionalFormatting sqref="AQ105:AQ146">
    <cfRule type="expression" dxfId="483" priority="35">
      <formula>AQ$105=0</formula>
    </cfRule>
  </conditionalFormatting>
  <conditionalFormatting sqref="O106:AQ146">
    <cfRule type="cellIs" dxfId="482" priority="34" operator="equal">
      <formula>"x"</formula>
    </cfRule>
  </conditionalFormatting>
  <conditionalFormatting sqref="O106:O146">
    <cfRule type="expression" dxfId="481" priority="86" stopIfTrue="1">
      <formula>AND($A$23&lt;&gt;"",$B$23&lt;&gt;"ja")</formula>
    </cfRule>
  </conditionalFormatting>
  <conditionalFormatting sqref="P106:P146">
    <cfRule type="expression" dxfId="480" priority="87" stopIfTrue="1">
      <formula>AND($A$24&lt;&gt;"",$B$24&lt;&gt;"ja")</formula>
    </cfRule>
  </conditionalFormatting>
  <conditionalFormatting sqref="Q106:Q146">
    <cfRule type="expression" dxfId="479" priority="88" stopIfTrue="1">
      <formula>AND($A$25&lt;&gt;"",$B$25&lt;&gt;"ja")</formula>
    </cfRule>
  </conditionalFormatting>
  <conditionalFormatting sqref="R106:R146">
    <cfRule type="expression" dxfId="478" priority="89" stopIfTrue="1">
      <formula>AND($A$26&lt;&gt;"",$B$26&lt;&gt;"ja")</formula>
    </cfRule>
  </conditionalFormatting>
  <conditionalFormatting sqref="S106:S146">
    <cfRule type="expression" dxfId="477" priority="90" stopIfTrue="1">
      <formula>AND($A$27&lt;&gt;"",$B$27&lt;&gt;"ja")</formula>
    </cfRule>
  </conditionalFormatting>
  <conditionalFormatting sqref="T106:T146">
    <cfRule type="expression" dxfId="476" priority="91" stopIfTrue="1">
      <formula>AND($A$28&lt;&gt;"",$B$28&lt;&gt;"ja")</formula>
    </cfRule>
  </conditionalFormatting>
  <conditionalFormatting sqref="U106:U146">
    <cfRule type="expression" dxfId="475" priority="92" stopIfTrue="1">
      <formula>AND($A$29&lt;&gt;"",$B$29&lt;&gt;"ja")</formula>
    </cfRule>
  </conditionalFormatting>
  <conditionalFormatting sqref="V106:V146">
    <cfRule type="expression" dxfId="474" priority="93" stopIfTrue="1">
      <formula>AND($A$30&lt;&gt;"",$B$30&lt;&gt;"ja")</formula>
    </cfRule>
  </conditionalFormatting>
  <conditionalFormatting sqref="W106:W146">
    <cfRule type="expression" dxfId="473" priority="94" stopIfTrue="1">
      <formula>AND($A$31&lt;&gt;"",$B$31&lt;&gt;"ja")</formula>
    </cfRule>
  </conditionalFormatting>
  <conditionalFormatting sqref="X106:X146">
    <cfRule type="expression" dxfId="472" priority="95" stopIfTrue="1">
      <formula>AND($A$32&lt;&gt;"",$B$32&lt;&gt;"ja")</formula>
    </cfRule>
  </conditionalFormatting>
  <conditionalFormatting sqref="Y106:Y146">
    <cfRule type="expression" dxfId="471" priority="96" stopIfTrue="1">
      <formula>AND($A$33&lt;&gt;"",$B$33&lt;&gt;"ja")</formula>
    </cfRule>
  </conditionalFormatting>
  <conditionalFormatting sqref="Z106:Z146">
    <cfRule type="expression" dxfId="470" priority="97" stopIfTrue="1">
      <formula>AND($A$34&lt;&gt;"",$B$34&lt;&gt;"ja")</formula>
    </cfRule>
  </conditionalFormatting>
  <conditionalFormatting sqref="AA106:AA146">
    <cfRule type="expression" dxfId="469" priority="98" stopIfTrue="1">
      <formula>AND($A$35&lt;&gt;"",$B$35&lt;&gt;"ja")</formula>
    </cfRule>
  </conditionalFormatting>
  <conditionalFormatting sqref="AB106:AB146">
    <cfRule type="expression" dxfId="468" priority="99" stopIfTrue="1">
      <formula>AND($A$36&lt;&gt;"",$B$36&lt;&gt;"ja")</formula>
    </cfRule>
  </conditionalFormatting>
  <conditionalFormatting sqref="AC106:AC146">
    <cfRule type="expression" dxfId="467" priority="100" stopIfTrue="1">
      <formula>AND($A$37&lt;&gt;"",$B$37&lt;&gt;"ja")</formula>
    </cfRule>
  </conditionalFormatting>
  <conditionalFormatting sqref="AD106:AD146">
    <cfRule type="expression" dxfId="466" priority="101" stopIfTrue="1">
      <formula>AND($A$38&lt;&gt;"",$B$38&lt;&gt;"ja")</formula>
    </cfRule>
  </conditionalFormatting>
  <conditionalFormatting sqref="AE106:AE146">
    <cfRule type="expression" dxfId="465" priority="102" stopIfTrue="1">
      <formula>AND($A$39&lt;&gt;"",$B$39&lt;&gt;"ja")</formula>
    </cfRule>
  </conditionalFormatting>
  <conditionalFormatting sqref="AF106:AF146">
    <cfRule type="expression" dxfId="464" priority="103" stopIfTrue="1">
      <formula>AND($A$40&lt;&gt;"",$B$40&lt;&gt;"ja")</formula>
    </cfRule>
  </conditionalFormatting>
  <conditionalFormatting sqref="AG106:AG146">
    <cfRule type="expression" dxfId="463" priority="104" stopIfTrue="1">
      <formula>AND($A$41&lt;&gt;"",$B$41&lt;&gt;"ja")</formula>
    </cfRule>
  </conditionalFormatting>
  <conditionalFormatting sqref="AH106:AH146">
    <cfRule type="expression" dxfId="462" priority="105" stopIfTrue="1">
      <formula>AND($A$42&lt;&gt;"",$B$42&lt;&gt;"ja")</formula>
    </cfRule>
  </conditionalFormatting>
  <conditionalFormatting sqref="AI106:AI146">
    <cfRule type="expression" dxfId="461" priority="106" stopIfTrue="1">
      <formula>AND($A$43&lt;&gt;"",$B$43&lt;&gt;"ja")</formula>
    </cfRule>
  </conditionalFormatting>
  <conditionalFormatting sqref="AJ106:AJ146">
    <cfRule type="expression" dxfId="460" priority="107" stopIfTrue="1">
      <formula>AND($A$44&lt;&gt;"",$B$44&lt;&gt;"ja")</formula>
    </cfRule>
  </conditionalFormatting>
  <conditionalFormatting sqref="AK106:AK146">
    <cfRule type="expression" dxfId="459" priority="108" stopIfTrue="1">
      <formula>AND($A$45&lt;&gt;"",$B$45&lt;&gt;"ja")</formula>
    </cfRule>
  </conditionalFormatting>
  <conditionalFormatting sqref="AL106:AL146">
    <cfRule type="expression" dxfId="458" priority="109" stopIfTrue="1">
      <formula>AND($A$46&lt;&gt;"",$B$46&lt;&gt;"ja")</formula>
    </cfRule>
  </conditionalFormatting>
  <conditionalFormatting sqref="AM106:AM146">
    <cfRule type="expression" dxfId="457" priority="110" stopIfTrue="1">
      <formula>AND($A$47&lt;&gt;"",$B$47&lt;&gt;"ja")</formula>
    </cfRule>
  </conditionalFormatting>
  <conditionalFormatting sqref="AN106:AN146">
    <cfRule type="expression" dxfId="456" priority="111" stopIfTrue="1">
      <formula>AND($A$48&lt;&gt;"",$B$48&lt;&gt;"ja")</formula>
    </cfRule>
  </conditionalFormatting>
  <conditionalFormatting sqref="AO106:AO146">
    <cfRule type="expression" dxfId="455" priority="112" stopIfTrue="1">
      <formula>AND($A$49&lt;&gt;"",$B$49&lt;&gt;"ja")</formula>
    </cfRule>
  </conditionalFormatting>
  <conditionalFormatting sqref="AP106:AP146">
    <cfRule type="expression" dxfId="454" priority="113" stopIfTrue="1">
      <formula>AND($A$50&lt;&gt;"",$B$50&lt;&gt;"ja")</formula>
    </cfRule>
  </conditionalFormatting>
  <conditionalFormatting sqref="AQ106:AQ146">
    <cfRule type="expression" dxfId="453" priority="114" stopIfTrue="1">
      <formula>AND($A$51&lt;&gt;"",$B$51&lt;&gt;"ja")</formula>
    </cfRule>
  </conditionalFormatting>
  <conditionalFormatting sqref="K56:K75">
    <cfRule type="expression" dxfId="452" priority="33">
      <formula>$F56&lt;&gt;"Ja"</formula>
    </cfRule>
  </conditionalFormatting>
  <conditionalFormatting sqref="L56:L75">
    <cfRule type="expression" dxfId="451" priority="32">
      <formula>$F56&lt;&gt;"Ja"</formula>
    </cfRule>
  </conditionalFormatting>
  <conditionalFormatting sqref="M56:M75">
    <cfRule type="expression" dxfId="450" priority="31">
      <formula>$F56&lt;&gt;"Ja"</formula>
    </cfRule>
  </conditionalFormatting>
  <conditionalFormatting sqref="N56:N75">
    <cfRule type="expression" dxfId="449" priority="30">
      <formula>$F56&lt;&gt;"Ja"</formula>
    </cfRule>
  </conditionalFormatting>
  <conditionalFormatting sqref="O56:O75">
    <cfRule type="expression" dxfId="448" priority="29">
      <formula>$F56&lt;&gt;"Ja"</formula>
    </cfRule>
  </conditionalFormatting>
  <conditionalFormatting sqref="P56:P75">
    <cfRule type="expression" dxfId="447" priority="28">
      <formula>$F56&lt;&gt;"Ja"</formula>
    </cfRule>
  </conditionalFormatting>
  <conditionalFormatting sqref="Q56:Q75">
    <cfRule type="expression" dxfId="446" priority="27">
      <formula>$F56&lt;&gt;"Ja"</formula>
    </cfRule>
  </conditionalFormatting>
  <conditionalFormatting sqref="R56:R75">
    <cfRule type="expression" dxfId="445" priority="26">
      <formula>$F56&lt;&gt;"Ja"</formula>
    </cfRule>
  </conditionalFormatting>
  <conditionalFormatting sqref="C78:C103">
    <cfRule type="expression" dxfId="444" priority="24">
      <formula>$L$157="-"</formula>
    </cfRule>
  </conditionalFormatting>
  <conditionalFormatting sqref="C106:C146">
    <cfRule type="expression" dxfId="443" priority="23">
      <formula>$L$157="-"</formula>
    </cfRule>
  </conditionalFormatting>
  <conditionalFormatting sqref="H78:H91">
    <cfRule type="expression" dxfId="442" priority="22">
      <formula>$B78="nein"</formula>
    </cfRule>
  </conditionalFormatting>
  <conditionalFormatting sqref="H78:H91">
    <cfRule type="expression" dxfId="441" priority="21">
      <formula>$B78="nein"</formula>
    </cfRule>
  </conditionalFormatting>
  <conditionalFormatting sqref="H86:H103">
    <cfRule type="expression" dxfId="440" priority="20">
      <formula>$B86="nein"</formula>
    </cfRule>
  </conditionalFormatting>
  <conditionalFormatting sqref="H86:H103">
    <cfRule type="expression" dxfId="439" priority="19">
      <formula>$B86="nein"</formula>
    </cfRule>
  </conditionalFormatting>
  <conditionalFormatting sqref="H78:H103">
    <cfRule type="expression" dxfId="438" priority="18">
      <formula>$L$157="-"</formula>
    </cfRule>
  </conditionalFormatting>
  <conditionalFormatting sqref="C12:D12 F12:F37">
    <cfRule type="expression" dxfId="437" priority="17">
      <formula>$B12="nein"</formula>
    </cfRule>
  </conditionalFormatting>
  <conditionalFormatting sqref="C13">
    <cfRule type="expression" dxfId="436" priority="16">
      <formula>$B13="nein"</formula>
    </cfRule>
  </conditionalFormatting>
  <conditionalFormatting sqref="C15:C37">
    <cfRule type="expression" dxfId="435" priority="15">
      <formula>$B15="nein"</formula>
    </cfRule>
  </conditionalFormatting>
  <conditionalFormatting sqref="D13:D37">
    <cfRule type="expression" dxfId="434" priority="14">
      <formula>$B13="nein"</formula>
    </cfRule>
  </conditionalFormatting>
  <conditionalFormatting sqref="F105">
    <cfRule type="expression" dxfId="433" priority="13">
      <formula>F$105=0</formula>
    </cfRule>
  </conditionalFormatting>
  <conditionalFormatting sqref="G105">
    <cfRule type="expression" dxfId="432" priority="12">
      <formula>G$105=0</formula>
    </cfRule>
  </conditionalFormatting>
  <conditionalFormatting sqref="E105">
    <cfRule type="expression" dxfId="431" priority="11">
      <formula>E$105=0</formula>
    </cfRule>
  </conditionalFormatting>
  <conditionalFormatting sqref="D105">
    <cfRule type="expression" dxfId="430" priority="10">
      <formula>D$105=0</formula>
    </cfRule>
  </conditionalFormatting>
  <conditionalFormatting sqref="H105">
    <cfRule type="expression" dxfId="429" priority="9">
      <formula>H$105=0</formula>
    </cfRule>
  </conditionalFormatting>
  <conditionalFormatting sqref="I105">
    <cfRule type="expression" dxfId="428" priority="8">
      <formula>I$105=0</formula>
    </cfRule>
  </conditionalFormatting>
  <conditionalFormatting sqref="J105">
    <cfRule type="expression" dxfId="427" priority="7">
      <formula>J$105=0</formula>
    </cfRule>
  </conditionalFormatting>
  <conditionalFormatting sqref="K105">
    <cfRule type="expression" dxfId="426" priority="6">
      <formula>K$105=0</formula>
    </cfRule>
  </conditionalFormatting>
  <conditionalFormatting sqref="L105">
    <cfRule type="expression" dxfId="425" priority="5">
      <formula>L$105=0</formula>
    </cfRule>
  </conditionalFormatting>
  <conditionalFormatting sqref="M105">
    <cfRule type="expression" dxfId="424" priority="4">
      <formula>M$105=0</formula>
    </cfRule>
  </conditionalFormatting>
  <conditionalFormatting sqref="N105">
    <cfRule type="expression" dxfId="423" priority="3">
      <formula>N$105=0</formula>
    </cfRule>
  </conditionalFormatting>
  <conditionalFormatting sqref="P106:P145">
    <cfRule type="expression" dxfId="422" priority="1">
      <formula>P$105=0</formula>
    </cfRule>
  </conditionalFormatting>
  <conditionalFormatting sqref="P106:P145">
    <cfRule type="expression" dxfId="421" priority="2" stopIfTrue="1">
      <formula>AND($A$23&lt;&gt;"",$B$23&lt;&gt;"ja")</formula>
    </cfRule>
  </conditionalFormatting>
  <dataValidations count="5">
    <dataValidation type="list" allowBlank="1" showInputMessage="1" showErrorMessage="1" sqref="B152:G155">
      <formula1>"1,2,3"</formula1>
    </dataValidation>
    <dataValidation type="list" allowBlank="1" showErrorMessage="1" sqref="G12:G51">
      <formula1>"nicht personenbezogen, personenbezogen, besonders personenbezogen"</formula1>
    </dataValidation>
    <dataValidation type="list" allowBlank="1" showInputMessage="1" showErrorMessage="1" sqref="G78:G103 B56:B75 B12:B51 B78:B103">
      <formula1>"ja, nein"</formula1>
    </dataValidation>
    <dataValidation type="list" allowBlank="1" showInputMessage="1" showErrorMessage="1" promptTitle="Mehrfachselektion möglich" prompt="Für Mehrfachselektion bitte nacheinander über Drop-Down Werte auswählen." sqref="M126:M146 H126:H146 F106:F107 F110:F111 G106:G146 F126:F146 H106:H107 I108:I146 F113:F123 H110:H123 J106:L146 D106:E146 M106:M123 N106:AQ146">
      <formula1>"x"</formula1>
    </dataValidation>
    <dataValidation type="list" allowBlank="1" showInputMessage="1" showErrorMessage="1" sqref="H152:I155">
      <formula1>"1,2,3,4"</formula1>
    </dataValidation>
  </dataValidations>
  <pageMargins left="0.7" right="0.7" top="0.78740157499999996" bottom="0.78740157499999996" header="0.3" footer="0.3"/>
  <pageSetup paperSize="9" scale="56" fitToHeight="0" orientation="landscape" r:id="rId1"/>
  <extLst>
    <ext xmlns:x14="http://schemas.microsoft.com/office/spreadsheetml/2009/9/main" uri="{CCE6A557-97BC-4b89-ADB6-D9C93CAAB3DF}">
      <x14:dataValidations xmlns:xm="http://schemas.microsoft.com/office/excel/2006/main" count="8">
        <x14:dataValidation type="list" allowBlank="1" showErrorMessage="1">
          <x14:formula1>
            <xm:f>'ISM Klassifizierung'!$B$10:$B$13</xm:f>
          </x14:formula1>
          <xm:sqref>C12:F51</xm:sqref>
        </x14:dataValidation>
        <x14:dataValidation type="list" allowBlank="1" showInputMessage="1" showErrorMessage="1">
          <x14:formula1>
            <xm:f>Allgemein!$L$43:$L$82</xm:f>
          </x14:formula1>
          <xm:sqref>G56:J75</xm:sqref>
        </x14:dataValidation>
        <x14:dataValidation type="list" allowBlank="1" showInputMessage="1" showErrorMessage="1">
          <x14:formula1>
            <xm:f>Allgemein!$I$43:$I$82</xm:f>
          </x14:formula1>
          <xm:sqref>C56:E75</xm:sqref>
        </x14:dataValidation>
        <x14:dataValidation type="list" allowBlank="1" showErrorMessage="1">
          <x14:formula1>
            <xm:f>'ISM Klassifizierung'!$I$4:$I$11</xm:f>
          </x14:formula1>
          <xm:sqref>H12:H51</xm:sqref>
        </x14:dataValidation>
        <x14:dataValidation type="list" allowBlank="1" showErrorMessage="1">
          <x14:formula1>
            <xm:f>'Ressourcen DB'!$G$2:$G$3</xm:f>
          </x14:formula1>
          <xm:sqref>C78:C103 F56:F75 I12:I51 H78:H103</xm:sqref>
        </x14:dataValidation>
        <x14:dataValidation type="list" allowBlank="1" showInputMessage="1" showErrorMessage="1">
          <x14:formula1>
            <xm:f>'ISM Klassifizierung'!$K$4:$K$11</xm:f>
          </x14:formula1>
          <xm:sqref>M152:M155</xm:sqref>
        </x14:dataValidation>
        <x14:dataValidation type="list" allowBlank="1" showInputMessage="1">
          <x14:formula1>
            <xm:f>'Ressourcen DB'!$G$2:$G$3</xm:f>
          </x14:formula1>
          <xm:sqref>C106:C146</xm:sqref>
        </x14:dataValidation>
        <x14:dataValidation type="list" allowBlank="1" showInputMessage="1">
          <x14:formula1>
            <xm:f>'Software Inventar'!$C$4:$C$128</xm:f>
          </x14:formula1>
          <xm:sqref>A106:B106 A108:B146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tabColor rgb="FF148DEA"/>
    <pageSetUpPr fitToPage="1"/>
  </sheetPr>
  <dimension ref="A1:AQ225"/>
  <sheetViews>
    <sheetView showGridLines="0" zoomScale="120" zoomScaleNormal="120" workbookViewId="0">
      <pane xSplit="1" ySplit="11" topLeftCell="B12" activePane="bottomRight" state="frozen"/>
      <selection activeCell="F13" sqref="F13:H13"/>
      <selection pane="topRight" activeCell="F13" sqref="F13:H13"/>
      <selection pane="bottomLeft" activeCell="F13" sqref="F13:H13"/>
      <selection pane="bottomRight" activeCell="N114" sqref="N114"/>
    </sheetView>
  </sheetViews>
  <sheetFormatPr baseColWidth="10" defaultColWidth="11.42578125" defaultRowHeight="12" zeroHeight="1" x14ac:dyDescent="0.2"/>
  <cols>
    <col min="1" max="1" width="36.28515625" style="13" bestFit="1" customWidth="1"/>
    <col min="2" max="4" width="13.28515625" style="13" customWidth="1"/>
    <col min="5" max="5" width="13.28515625" style="13" hidden="1" customWidth="1"/>
    <col min="6" max="6" width="13.28515625" style="13" customWidth="1"/>
    <col min="7" max="7" width="17.85546875" style="13" bestFit="1" customWidth="1"/>
    <col min="8" max="10" width="13.28515625" style="13" customWidth="1"/>
    <col min="11" max="11" width="13.28515625" style="12" customWidth="1"/>
    <col min="12" max="13" width="13.28515625" style="13" customWidth="1"/>
    <col min="14" max="16" width="13.42578125" style="13" customWidth="1"/>
    <col min="17" max="44" width="20" style="13" customWidth="1"/>
    <col min="45" max="16384" width="11.42578125" style="13"/>
  </cols>
  <sheetData>
    <row r="1" spans="1:11" s="12" customFormat="1" ht="68.25" customHeight="1" x14ac:dyDescent="0.35">
      <c r="B1" s="157" t="s">
        <v>367</v>
      </c>
      <c r="C1" s="157"/>
      <c r="D1" s="157"/>
      <c r="E1" s="157"/>
      <c r="F1" s="68"/>
      <c r="G1" s="68"/>
      <c r="H1" s="68"/>
      <c r="I1" s="68"/>
      <c r="J1" s="158"/>
      <c r="K1" s="158"/>
    </row>
    <row r="2" spans="1:11" s="12" customFormat="1" x14ac:dyDescent="0.2">
      <c r="A2" s="106"/>
      <c r="B2" s="159"/>
      <c r="C2" s="159"/>
      <c r="D2" s="159"/>
      <c r="E2" s="159"/>
      <c r="F2" s="159"/>
      <c r="G2" s="14"/>
      <c r="H2" s="14"/>
      <c r="I2" s="14"/>
      <c r="J2" s="14"/>
    </row>
    <row r="3" spans="1:11" s="12" customFormat="1" x14ac:dyDescent="0.2">
      <c r="A3" s="105" t="s">
        <v>228</v>
      </c>
      <c r="B3" s="160" t="s">
        <v>339</v>
      </c>
      <c r="C3" s="161"/>
      <c r="D3" s="161"/>
      <c r="E3" s="161"/>
      <c r="F3" s="162"/>
      <c r="G3" s="14"/>
      <c r="H3" s="14"/>
      <c r="I3" s="14"/>
      <c r="J3" s="14"/>
    </row>
    <row r="4" spans="1:11" s="12" customFormat="1" x14ac:dyDescent="0.2">
      <c r="A4" s="32" t="s">
        <v>59</v>
      </c>
      <c r="B4" s="160"/>
      <c r="C4" s="161"/>
      <c r="D4" s="161"/>
      <c r="E4" s="161"/>
      <c r="F4" s="162"/>
      <c r="G4" s="14"/>
      <c r="H4" s="14"/>
      <c r="I4" s="14"/>
      <c r="J4" s="14"/>
    </row>
    <row r="5" spans="1:11" s="12" customFormat="1" x14ac:dyDescent="0.2">
      <c r="A5" s="32" t="s">
        <v>60</v>
      </c>
      <c r="B5" s="166"/>
      <c r="C5" s="166"/>
      <c r="D5" s="166"/>
      <c r="E5" s="166"/>
      <c r="F5" s="166"/>
      <c r="G5" s="14"/>
      <c r="H5" s="14"/>
      <c r="I5" s="14"/>
    </row>
    <row r="6" spans="1:11" s="12" customFormat="1" x14ac:dyDescent="0.2">
      <c r="A6" s="32" t="s">
        <v>61</v>
      </c>
      <c r="B6" s="167"/>
      <c r="C6" s="166"/>
      <c r="D6" s="166"/>
      <c r="E6" s="166"/>
      <c r="F6" s="166"/>
      <c r="G6" s="14"/>
      <c r="H6" s="14"/>
      <c r="I6" s="14"/>
    </row>
    <row r="7" spans="1:11" s="12" customFormat="1" x14ac:dyDescent="0.2"/>
    <row r="8" spans="1:11" s="12" customFormat="1" x14ac:dyDescent="0.2"/>
    <row r="9" spans="1:11" s="12" customFormat="1" ht="17.25" customHeight="1" x14ac:dyDescent="0.2">
      <c r="A9" s="168" t="s">
        <v>62</v>
      </c>
      <c r="B9" s="169"/>
      <c r="C9" s="169"/>
      <c r="D9" s="169"/>
      <c r="E9" s="169"/>
      <c r="F9" s="169"/>
      <c r="G9" s="169"/>
      <c r="H9" s="169"/>
      <c r="I9" s="169"/>
      <c r="J9" s="170"/>
    </row>
    <row r="10" spans="1:11" s="12" customFormat="1" ht="18" customHeight="1" x14ac:dyDescent="0.2"/>
    <row r="11" spans="1:11" s="12" customFormat="1" ht="30.75" customHeight="1" x14ac:dyDescent="0.2">
      <c r="A11" s="74" t="s">
        <v>54</v>
      </c>
      <c r="B11" s="82" t="s">
        <v>63</v>
      </c>
      <c r="C11" s="74" t="s">
        <v>64</v>
      </c>
      <c r="D11" s="74" t="s">
        <v>65</v>
      </c>
      <c r="E11" s="103" t="s">
        <v>227</v>
      </c>
      <c r="F11" s="74" t="s">
        <v>67</v>
      </c>
      <c r="G11" s="74" t="s">
        <v>68</v>
      </c>
      <c r="H11" s="74"/>
      <c r="I11" s="74"/>
      <c r="J11" s="74" t="s">
        <v>70</v>
      </c>
    </row>
    <row r="12" spans="1:11" s="12" customFormat="1" x14ac:dyDescent="0.2">
      <c r="A12" s="15" t="str">
        <f>IF(Allgemein!C43=0,"",Allgemein!C43)</f>
        <v>Arbeitsergebnisse</v>
      </c>
      <c r="B12" s="28" t="s">
        <v>353</v>
      </c>
      <c r="C12" s="28"/>
      <c r="D12" s="28"/>
      <c r="E12" s="104"/>
      <c r="F12" s="28"/>
      <c r="G12" s="28"/>
      <c r="H12" s="28"/>
      <c r="I12" s="28"/>
      <c r="J12" s="83"/>
      <c r="K12" s="16"/>
    </row>
    <row r="13" spans="1:11" s="12" customFormat="1" ht="11.45" customHeight="1" x14ac:dyDescent="0.2">
      <c r="A13" s="15" t="str">
        <f>IF(Allgemein!C44=0,"",Allgemein!C44)</f>
        <v>Projektdokumentation</v>
      </c>
      <c r="B13" s="28" t="s">
        <v>343</v>
      </c>
      <c r="C13" s="28" t="s">
        <v>262</v>
      </c>
      <c r="D13" s="28" t="s">
        <v>262</v>
      </c>
      <c r="E13" s="104"/>
      <c r="F13" s="28" t="s">
        <v>262</v>
      </c>
      <c r="G13" s="28" t="s">
        <v>356</v>
      </c>
      <c r="H13" s="28"/>
      <c r="I13" s="28"/>
      <c r="J13" s="83"/>
      <c r="K13" s="16"/>
    </row>
    <row r="14" spans="1:11" s="12" customFormat="1" ht="24" x14ac:dyDescent="0.2">
      <c r="A14" s="15" t="str">
        <f>IF(Allgemein!C45=0,"",Allgemein!C45)</f>
        <v>IT-System- und Dokumentenmanagement</v>
      </c>
      <c r="B14" s="28" t="s">
        <v>343</v>
      </c>
      <c r="C14" s="28" t="s">
        <v>262</v>
      </c>
      <c r="D14" s="28" t="s">
        <v>262</v>
      </c>
      <c r="E14" s="104"/>
      <c r="F14" s="28" t="s">
        <v>262</v>
      </c>
      <c r="G14" s="28" t="s">
        <v>356</v>
      </c>
      <c r="H14" s="28"/>
      <c r="I14" s="28"/>
      <c r="J14" s="83"/>
      <c r="K14" s="16"/>
    </row>
    <row r="15" spans="1:11" s="12" customFormat="1" x14ac:dyDescent="0.2">
      <c r="A15" s="15" t="str">
        <f>IF(Allgemein!C46=0,"",Allgemein!C46)</f>
        <v>Altprojektdatenbank</v>
      </c>
      <c r="B15" s="28" t="s">
        <v>353</v>
      </c>
      <c r="C15" s="28"/>
      <c r="D15" s="28"/>
      <c r="E15" s="104"/>
      <c r="F15" s="28"/>
      <c r="G15" s="28"/>
      <c r="H15" s="28"/>
      <c r="I15" s="28"/>
      <c r="J15" s="83"/>
      <c r="K15" s="16"/>
    </row>
    <row r="16" spans="1:11" s="12" customFormat="1" ht="24" x14ac:dyDescent="0.2">
      <c r="A16" s="15" t="str">
        <f>IF(Allgemein!C47=0,"",Allgemein!C47)</f>
        <v>Projektfeinplanung (Arbeitspakete - Git Tickets)</v>
      </c>
      <c r="B16" s="28" t="s">
        <v>353</v>
      </c>
      <c r="C16" s="28"/>
      <c r="D16" s="28"/>
      <c r="E16" s="104"/>
      <c r="F16" s="28"/>
      <c r="G16" s="28"/>
      <c r="H16" s="28"/>
      <c r="I16" s="28"/>
      <c r="J16" s="28"/>
      <c r="K16" s="16"/>
    </row>
    <row r="17" spans="1:11" s="12" customFormat="1" ht="24" x14ac:dyDescent="0.2">
      <c r="A17" s="15" t="str">
        <f>IF(Allgemein!C48=0,"",Allgemein!C48)</f>
        <v>Projektgrobplanung</v>
      </c>
      <c r="B17" s="28" t="s">
        <v>343</v>
      </c>
      <c r="C17" s="28" t="s">
        <v>262</v>
      </c>
      <c r="D17" s="28" t="s">
        <v>262</v>
      </c>
      <c r="E17" s="104"/>
      <c r="F17" s="28" t="s">
        <v>262</v>
      </c>
      <c r="G17" s="28" t="s">
        <v>356</v>
      </c>
      <c r="H17" s="28"/>
      <c r="I17" s="28"/>
      <c r="J17" s="28"/>
      <c r="K17" s="16"/>
    </row>
    <row r="18" spans="1:11" s="12" customFormat="1" x14ac:dyDescent="0.2">
      <c r="A18" s="15" t="str">
        <f>IF(Allgemein!C49=0,"",Allgemein!C49)</f>
        <v>Rechnungsmanagement</v>
      </c>
      <c r="B18" s="28" t="s">
        <v>353</v>
      </c>
      <c r="C18" s="28"/>
      <c r="D18" s="28"/>
      <c r="E18" s="104"/>
      <c r="F18" s="28"/>
      <c r="G18" s="28"/>
      <c r="H18" s="28"/>
      <c r="I18" s="28"/>
      <c r="J18" s="28"/>
      <c r="K18" s="16"/>
    </row>
    <row r="19" spans="1:11" s="12" customFormat="1" x14ac:dyDescent="0.2">
      <c r="A19" s="15" t="str">
        <f>IF(Allgemein!C50=0,"",Allgemein!C50)</f>
        <v>Projektbasierte Risikoanalyse</v>
      </c>
      <c r="B19" s="28" t="s">
        <v>353</v>
      </c>
      <c r="C19" s="28"/>
      <c r="D19" s="28"/>
      <c r="E19" s="104"/>
      <c r="F19" s="28"/>
      <c r="G19" s="28"/>
      <c r="H19" s="28"/>
      <c r="I19" s="28"/>
      <c r="J19" s="28"/>
      <c r="K19" s="16"/>
    </row>
    <row r="20" spans="1:11" s="12" customFormat="1" x14ac:dyDescent="0.2">
      <c r="A20" s="15" t="str">
        <f>IF(Allgemein!C51=0,"",Allgemein!C51)</f>
        <v>Wiki Wissensdatenbank</v>
      </c>
      <c r="B20" s="28" t="s">
        <v>353</v>
      </c>
      <c r="C20" s="28"/>
      <c r="D20" s="28"/>
      <c r="E20" s="104"/>
      <c r="F20" s="28"/>
      <c r="G20" s="28"/>
      <c r="H20" s="28"/>
      <c r="I20" s="28"/>
      <c r="J20" s="28"/>
      <c r="K20" s="16"/>
    </row>
    <row r="21" spans="1:11" s="12" customFormat="1" x14ac:dyDescent="0.2">
      <c r="A21" s="15" t="str">
        <f>IF(Allgemein!C52=0,"",Allgemein!C52)</f>
        <v>Source Code</v>
      </c>
      <c r="B21" s="28" t="s">
        <v>353</v>
      </c>
      <c r="C21" s="28"/>
      <c r="D21" s="28"/>
      <c r="E21" s="104"/>
      <c r="F21" s="28"/>
      <c r="G21" s="28"/>
      <c r="H21" s="28"/>
      <c r="I21" s="28"/>
      <c r="J21" s="28"/>
      <c r="K21" s="16"/>
    </row>
    <row r="22" spans="1:11" s="12" customFormat="1" x14ac:dyDescent="0.2">
      <c r="A22" s="15" t="str">
        <f>IF(Allgemein!C53=0,"",Allgemein!C53)</f>
        <v>Missionsdaten</v>
      </c>
      <c r="B22" s="28" t="s">
        <v>353</v>
      </c>
      <c r="C22" s="28"/>
      <c r="D22" s="28"/>
      <c r="E22" s="104"/>
      <c r="F22" s="28"/>
      <c r="G22" s="28"/>
      <c r="H22" s="28"/>
      <c r="I22" s="28"/>
      <c r="J22" s="28"/>
      <c r="K22" s="16"/>
    </row>
    <row r="23" spans="1:11" s="12" customFormat="1" x14ac:dyDescent="0.2">
      <c r="A23" s="15" t="str">
        <f>IF(Allgemein!C54=0,"",Allgemein!C54)</f>
        <v>Schlüsselmaterial Mission</v>
      </c>
      <c r="B23" s="28" t="s">
        <v>353</v>
      </c>
      <c r="C23" s="28"/>
      <c r="D23" s="28"/>
      <c r="E23" s="104"/>
      <c r="F23" s="28"/>
      <c r="G23" s="28"/>
      <c r="H23" s="28"/>
      <c r="I23" s="28"/>
      <c r="J23" s="28"/>
      <c r="K23" s="16"/>
    </row>
    <row r="24" spans="1:11" s="12" customFormat="1" x14ac:dyDescent="0.2">
      <c r="A24" s="15" t="str">
        <f>IF(Allgemein!C55=0,"",Allgemein!C55)</f>
        <v/>
      </c>
      <c r="B24" s="28"/>
      <c r="C24" s="28"/>
      <c r="D24" s="28"/>
      <c r="E24" s="104"/>
      <c r="F24" s="28"/>
      <c r="G24" s="28"/>
      <c r="H24" s="28"/>
      <c r="I24" s="28"/>
      <c r="J24" s="28"/>
      <c r="K24" s="16"/>
    </row>
    <row r="25" spans="1:11" s="12" customFormat="1" x14ac:dyDescent="0.2">
      <c r="A25" s="15" t="str">
        <f>IF(Allgemein!C56=0,"",Allgemein!C56)</f>
        <v/>
      </c>
      <c r="B25" s="28"/>
      <c r="C25" s="28"/>
      <c r="D25" s="28"/>
      <c r="E25" s="104"/>
      <c r="F25" s="28"/>
      <c r="G25" s="28"/>
      <c r="H25" s="28"/>
      <c r="I25" s="28"/>
      <c r="J25" s="28"/>
      <c r="K25" s="16"/>
    </row>
    <row r="26" spans="1:11" s="12" customFormat="1" x14ac:dyDescent="0.2">
      <c r="A26" s="15" t="str">
        <f>IF(Allgemein!C57=0,"",Allgemein!C57)</f>
        <v/>
      </c>
      <c r="B26" s="28"/>
      <c r="C26" s="28"/>
      <c r="D26" s="28"/>
      <c r="E26" s="104"/>
      <c r="F26" s="28"/>
      <c r="G26" s="28"/>
      <c r="H26" s="28"/>
      <c r="I26" s="28"/>
      <c r="J26" s="28"/>
      <c r="K26" s="16"/>
    </row>
    <row r="27" spans="1:11" s="12" customFormat="1" hidden="1" x14ac:dyDescent="0.2">
      <c r="A27" s="15" t="str">
        <f>IF(Allgemein!C58=0,"",Allgemein!C58)</f>
        <v/>
      </c>
      <c r="B27" s="28"/>
      <c r="C27" s="28"/>
      <c r="D27" s="28"/>
      <c r="E27" s="104"/>
      <c r="F27" s="28"/>
      <c r="G27" s="28"/>
      <c r="H27" s="28"/>
      <c r="I27" s="28"/>
      <c r="J27" s="28"/>
      <c r="K27" s="16"/>
    </row>
    <row r="28" spans="1:11" s="12" customFormat="1" hidden="1" x14ac:dyDescent="0.2">
      <c r="A28" s="15" t="str">
        <f>IF(Allgemein!C59=0,"",Allgemein!C59)</f>
        <v/>
      </c>
      <c r="B28" s="28"/>
      <c r="C28" s="28"/>
      <c r="D28" s="28"/>
      <c r="E28" s="104"/>
      <c r="F28" s="28"/>
      <c r="G28" s="28"/>
      <c r="H28" s="28"/>
      <c r="I28" s="28"/>
      <c r="J28" s="28"/>
      <c r="K28" s="16"/>
    </row>
    <row r="29" spans="1:11" s="12" customFormat="1" hidden="1" x14ac:dyDescent="0.2">
      <c r="A29" s="15" t="str">
        <f>IF(Allgemein!C60=0,"",Allgemein!C60)</f>
        <v/>
      </c>
      <c r="B29" s="28"/>
      <c r="C29" s="28"/>
      <c r="D29" s="28"/>
      <c r="E29" s="104"/>
      <c r="F29" s="28"/>
      <c r="G29" s="28"/>
      <c r="H29" s="28"/>
      <c r="I29" s="28"/>
      <c r="J29" s="28"/>
      <c r="K29" s="16"/>
    </row>
    <row r="30" spans="1:11" s="12" customFormat="1" hidden="1" x14ac:dyDescent="0.2">
      <c r="A30" s="15" t="str">
        <f>IF(Allgemein!C61=0,"",Allgemein!C61)</f>
        <v/>
      </c>
      <c r="B30" s="28"/>
      <c r="C30" s="28"/>
      <c r="D30" s="28"/>
      <c r="E30" s="104"/>
      <c r="F30" s="28"/>
      <c r="G30" s="28"/>
      <c r="H30" s="28"/>
      <c r="I30" s="28"/>
      <c r="J30" s="28"/>
      <c r="K30" s="16"/>
    </row>
    <row r="31" spans="1:11" s="12" customFormat="1" hidden="1" x14ac:dyDescent="0.2">
      <c r="A31" s="15" t="str">
        <f>IF(Allgemein!C62=0,"",Allgemein!C62)</f>
        <v/>
      </c>
      <c r="B31" s="28"/>
      <c r="C31" s="28"/>
      <c r="D31" s="28"/>
      <c r="E31" s="104"/>
      <c r="F31" s="28"/>
      <c r="G31" s="28"/>
      <c r="H31" s="28"/>
      <c r="I31" s="28"/>
      <c r="J31" s="28"/>
      <c r="K31" s="16"/>
    </row>
    <row r="32" spans="1:11" s="12" customFormat="1" hidden="1" x14ac:dyDescent="0.2">
      <c r="A32" s="15" t="str">
        <f>IF(Allgemein!C63=0,"",Allgemein!C63)</f>
        <v/>
      </c>
      <c r="B32" s="28"/>
      <c r="C32" s="28"/>
      <c r="D32" s="28"/>
      <c r="E32" s="104"/>
      <c r="F32" s="28"/>
      <c r="G32" s="28"/>
      <c r="H32" s="28"/>
      <c r="I32" s="28"/>
      <c r="J32" s="28"/>
      <c r="K32" s="16"/>
    </row>
    <row r="33" spans="1:11" s="12" customFormat="1" hidden="1" x14ac:dyDescent="0.2">
      <c r="A33" s="15" t="str">
        <f>IF(Allgemein!C64=0,"",Allgemein!C64)</f>
        <v/>
      </c>
      <c r="B33" s="28"/>
      <c r="C33" s="28"/>
      <c r="D33" s="28"/>
      <c r="E33" s="104"/>
      <c r="F33" s="28"/>
      <c r="G33" s="28"/>
      <c r="H33" s="28"/>
      <c r="I33" s="28"/>
      <c r="J33" s="28"/>
      <c r="K33" s="16"/>
    </row>
    <row r="34" spans="1:11" s="12" customFormat="1" hidden="1" x14ac:dyDescent="0.2">
      <c r="A34" s="15" t="str">
        <f>IF(Allgemein!C65=0,"",Allgemein!C65)</f>
        <v/>
      </c>
      <c r="B34" s="28"/>
      <c r="C34" s="28"/>
      <c r="D34" s="28"/>
      <c r="E34" s="104"/>
      <c r="F34" s="28"/>
      <c r="G34" s="28"/>
      <c r="H34" s="28"/>
      <c r="I34" s="28"/>
      <c r="J34" s="28"/>
      <c r="K34" s="16"/>
    </row>
    <row r="35" spans="1:11" s="12" customFormat="1" hidden="1" x14ac:dyDescent="0.2">
      <c r="A35" s="15" t="str">
        <f>IF(Allgemein!C66=0,"",Allgemein!C66)</f>
        <v/>
      </c>
      <c r="B35" s="28"/>
      <c r="C35" s="28"/>
      <c r="D35" s="28"/>
      <c r="E35" s="104"/>
      <c r="F35" s="28"/>
      <c r="G35" s="28"/>
      <c r="H35" s="28"/>
      <c r="I35" s="28"/>
      <c r="J35" s="28"/>
      <c r="K35" s="16"/>
    </row>
    <row r="36" spans="1:11" s="12" customFormat="1" ht="11.45" hidden="1" customHeight="1" x14ac:dyDescent="0.2">
      <c r="A36" s="15" t="str">
        <f>IF(Allgemein!C67=0,"",Allgemein!C67)</f>
        <v/>
      </c>
      <c r="B36" s="28"/>
      <c r="C36" s="28"/>
      <c r="D36" s="28"/>
      <c r="E36" s="104"/>
      <c r="F36" s="28"/>
      <c r="G36" s="28"/>
      <c r="H36" s="28"/>
      <c r="I36" s="28"/>
      <c r="J36" s="28"/>
      <c r="K36" s="16"/>
    </row>
    <row r="37" spans="1:11" s="12" customFormat="1" ht="11.45" hidden="1" customHeight="1" x14ac:dyDescent="0.2">
      <c r="A37" s="15" t="str">
        <f>IF(Allgemein!C68=0,"",Allgemein!C68)</f>
        <v/>
      </c>
      <c r="B37" s="28"/>
      <c r="C37" s="28"/>
      <c r="D37" s="28"/>
      <c r="E37" s="104"/>
      <c r="F37" s="28"/>
      <c r="G37" s="28"/>
      <c r="H37" s="28"/>
      <c r="I37" s="28"/>
      <c r="J37" s="28"/>
      <c r="K37" s="16"/>
    </row>
    <row r="38" spans="1:11" s="12" customFormat="1" hidden="1" x14ac:dyDescent="0.2">
      <c r="A38" s="15" t="str">
        <f>IF(Allgemein!C69=0,"",Allgemein!C69)</f>
        <v/>
      </c>
      <c r="B38" s="28"/>
      <c r="C38" s="28"/>
      <c r="D38" s="28"/>
      <c r="E38" s="104"/>
      <c r="F38" s="28"/>
      <c r="G38" s="28"/>
      <c r="H38" s="28"/>
      <c r="I38" s="28"/>
      <c r="J38" s="28"/>
    </row>
    <row r="39" spans="1:11" s="12" customFormat="1" hidden="1" x14ac:dyDescent="0.2">
      <c r="A39" s="15" t="str">
        <f>IF(Allgemein!C70=0,"",Allgemein!C70)</f>
        <v/>
      </c>
      <c r="B39" s="28"/>
      <c r="C39" s="28"/>
      <c r="D39" s="28"/>
      <c r="E39" s="104"/>
      <c r="F39" s="28"/>
      <c r="G39" s="28"/>
      <c r="H39" s="28"/>
      <c r="I39" s="28"/>
      <c r="J39" s="28"/>
    </row>
    <row r="40" spans="1:11" s="12" customFormat="1" hidden="1" x14ac:dyDescent="0.2">
      <c r="A40" s="15" t="str">
        <f>IF(Allgemein!C71=0,"",Allgemein!C71)</f>
        <v/>
      </c>
      <c r="B40" s="28"/>
      <c r="C40" s="28"/>
      <c r="D40" s="28"/>
      <c r="E40" s="104"/>
      <c r="F40" s="28"/>
      <c r="G40" s="28"/>
      <c r="H40" s="28"/>
      <c r="I40" s="28"/>
      <c r="J40" s="28"/>
    </row>
    <row r="41" spans="1:11" s="12" customFormat="1" ht="11.45" hidden="1" customHeight="1" x14ac:dyDescent="0.2">
      <c r="A41" s="15" t="str">
        <f>IF(Allgemein!C72=0,"",Allgemein!C72)</f>
        <v/>
      </c>
      <c r="B41" s="28"/>
      <c r="C41" s="28"/>
      <c r="D41" s="28"/>
      <c r="E41" s="104"/>
      <c r="F41" s="28"/>
      <c r="G41" s="28"/>
      <c r="H41" s="28"/>
      <c r="I41" s="28"/>
      <c r="J41" s="28"/>
    </row>
    <row r="42" spans="1:11" s="12" customFormat="1" ht="11.45" hidden="1" customHeight="1" x14ac:dyDescent="0.2">
      <c r="A42" s="15" t="str">
        <f>IF(Allgemein!C73=0,"",Allgemein!C73)</f>
        <v/>
      </c>
      <c r="B42" s="28"/>
      <c r="C42" s="28"/>
      <c r="D42" s="28"/>
      <c r="E42" s="104"/>
      <c r="F42" s="28"/>
      <c r="G42" s="28"/>
      <c r="H42" s="28"/>
      <c r="I42" s="28"/>
      <c r="J42" s="28"/>
    </row>
    <row r="43" spans="1:11" s="12" customFormat="1" ht="11.45" hidden="1" customHeight="1" x14ac:dyDescent="0.2">
      <c r="A43" s="15" t="str">
        <f>IF(Allgemein!C74=0,"",Allgemein!C74)</f>
        <v/>
      </c>
      <c r="B43" s="28"/>
      <c r="C43" s="28"/>
      <c r="D43" s="28"/>
      <c r="E43" s="104"/>
      <c r="F43" s="28"/>
      <c r="G43" s="28"/>
      <c r="H43" s="28"/>
      <c r="I43" s="28"/>
      <c r="J43" s="28"/>
    </row>
    <row r="44" spans="1:11" s="12" customFormat="1" ht="11.45" hidden="1" customHeight="1" x14ac:dyDescent="0.2">
      <c r="A44" s="15" t="str">
        <f>IF(Allgemein!C75=0,"",Allgemein!C75)</f>
        <v/>
      </c>
      <c r="B44" s="28"/>
      <c r="C44" s="28"/>
      <c r="D44" s="28"/>
      <c r="E44" s="104"/>
      <c r="F44" s="28"/>
      <c r="G44" s="28"/>
      <c r="H44" s="28"/>
      <c r="I44" s="28"/>
      <c r="J44" s="28"/>
    </row>
    <row r="45" spans="1:11" s="12" customFormat="1" ht="11.45" hidden="1" customHeight="1" x14ac:dyDescent="0.2">
      <c r="A45" s="15" t="str">
        <f>IF(Allgemein!C76=0,"",Allgemein!C76)</f>
        <v/>
      </c>
      <c r="B45" s="28"/>
      <c r="C45" s="28"/>
      <c r="D45" s="28"/>
      <c r="E45" s="104"/>
      <c r="F45" s="28"/>
      <c r="G45" s="28"/>
      <c r="H45" s="28"/>
      <c r="I45" s="28"/>
      <c r="J45" s="28"/>
    </row>
    <row r="46" spans="1:11" s="12" customFormat="1" ht="11.45" hidden="1" customHeight="1" x14ac:dyDescent="0.2">
      <c r="A46" s="15" t="str">
        <f>IF(Allgemein!C77=0,"",Allgemein!C77)</f>
        <v/>
      </c>
      <c r="B46" s="28"/>
      <c r="C46" s="28"/>
      <c r="D46" s="28"/>
      <c r="E46" s="104"/>
      <c r="F46" s="28"/>
      <c r="G46" s="28"/>
      <c r="H46" s="28"/>
      <c r="I46" s="28"/>
      <c r="J46" s="28"/>
    </row>
    <row r="47" spans="1:11" s="12" customFormat="1" ht="11.45" hidden="1" customHeight="1" x14ac:dyDescent="0.2">
      <c r="A47" s="15" t="str">
        <f>IF(Allgemein!C78=0,"",Allgemein!C78)</f>
        <v/>
      </c>
      <c r="B47" s="28"/>
      <c r="C47" s="28"/>
      <c r="D47" s="28"/>
      <c r="E47" s="104"/>
      <c r="F47" s="28"/>
      <c r="G47" s="28"/>
      <c r="H47" s="28"/>
      <c r="I47" s="28"/>
      <c r="J47" s="28"/>
    </row>
    <row r="48" spans="1:11" s="12" customFormat="1" ht="11.45" hidden="1" customHeight="1" x14ac:dyDescent="0.2">
      <c r="A48" s="15" t="str">
        <f>IF(Allgemein!C79=0,"",Allgemein!C79)</f>
        <v/>
      </c>
      <c r="B48" s="28"/>
      <c r="C48" s="28"/>
      <c r="D48" s="28"/>
      <c r="E48" s="104"/>
      <c r="F48" s="28"/>
      <c r="G48" s="28"/>
      <c r="H48" s="28"/>
      <c r="I48" s="28"/>
      <c r="J48" s="28"/>
    </row>
    <row r="49" spans="1:18" s="12" customFormat="1" ht="11.45" hidden="1" customHeight="1" x14ac:dyDescent="0.2">
      <c r="A49" s="15" t="str">
        <f>IF(Allgemein!C80=0,"",Allgemein!C80)</f>
        <v/>
      </c>
      <c r="B49" s="28"/>
      <c r="C49" s="28"/>
      <c r="D49" s="28"/>
      <c r="E49" s="104"/>
      <c r="F49" s="28"/>
      <c r="G49" s="28"/>
      <c r="H49" s="28"/>
      <c r="I49" s="28"/>
      <c r="J49" s="28"/>
    </row>
    <row r="50" spans="1:18" s="12" customFormat="1" ht="11.45" hidden="1" customHeight="1" x14ac:dyDescent="0.2">
      <c r="A50" s="15" t="str">
        <f>IF(Allgemein!C81=0,"",Allgemein!C81)</f>
        <v/>
      </c>
      <c r="B50" s="28"/>
      <c r="C50" s="28"/>
      <c r="D50" s="28"/>
      <c r="E50" s="104"/>
      <c r="F50" s="28"/>
      <c r="G50" s="28"/>
      <c r="H50" s="28"/>
      <c r="I50" s="28"/>
      <c r="J50" s="28"/>
    </row>
    <row r="51" spans="1:18" s="12" customFormat="1" ht="11.45" hidden="1" customHeight="1" x14ac:dyDescent="0.2">
      <c r="A51" s="15" t="str">
        <f>IF(Allgemein!C82=0,"",Allgemein!C82)</f>
        <v/>
      </c>
      <c r="B51" s="28"/>
      <c r="C51" s="28"/>
      <c r="D51" s="28"/>
      <c r="E51" s="104"/>
      <c r="F51" s="28"/>
      <c r="G51" s="28"/>
      <c r="H51" s="28"/>
      <c r="I51" s="28"/>
      <c r="J51" s="28"/>
    </row>
    <row r="52" spans="1:18" s="12" customFormat="1" x14ac:dyDescent="0.2"/>
    <row r="53" spans="1:18" s="12" customFormat="1" ht="18" customHeight="1" x14ac:dyDescent="0.2">
      <c r="A53" s="171" t="s">
        <v>76</v>
      </c>
      <c r="B53" s="171"/>
      <c r="C53" s="171"/>
      <c r="D53" s="171"/>
      <c r="E53" s="171"/>
      <c r="F53" s="171"/>
      <c r="G53" s="171"/>
      <c r="H53" s="171"/>
      <c r="I53" s="171"/>
      <c r="J53" s="171"/>
      <c r="K53" s="171"/>
      <c r="L53" s="171"/>
      <c r="M53" s="171"/>
      <c r="N53" s="171"/>
      <c r="O53" s="171"/>
      <c r="P53" s="171"/>
      <c r="Q53" s="171"/>
      <c r="R53" s="171"/>
    </row>
    <row r="54" spans="1:18" s="12" customFormat="1" ht="18" customHeight="1" x14ac:dyDescent="0.2">
      <c r="K54" s="172"/>
      <c r="L54" s="172"/>
      <c r="M54" s="172"/>
      <c r="N54" s="172"/>
      <c r="O54" s="172"/>
      <c r="P54" s="172"/>
      <c r="Q54" s="172"/>
      <c r="R54" s="172"/>
    </row>
    <row r="55" spans="1:18" s="12" customFormat="1" ht="24" hidden="1" x14ac:dyDescent="0.2">
      <c r="A55" s="74" t="s">
        <v>55</v>
      </c>
      <c r="B55" s="82" t="s">
        <v>63</v>
      </c>
      <c r="C55" s="153" t="s">
        <v>77</v>
      </c>
      <c r="D55" s="154"/>
      <c r="E55" s="155"/>
      <c r="F55" s="74"/>
      <c r="G55" s="153" t="s">
        <v>78</v>
      </c>
      <c r="H55" s="154"/>
      <c r="I55" s="154"/>
      <c r="J55" s="155"/>
      <c r="K55" s="74" t="str">
        <f>B151</f>
        <v>≤ 1 d</v>
      </c>
      <c r="L55" s="74" t="str">
        <f t="shared" ref="L55:R55" si="0">C151</f>
        <v>≤ 3 d</v>
      </c>
      <c r="M55" s="74" t="str">
        <f t="shared" si="0"/>
        <v>≤ 7 d</v>
      </c>
      <c r="N55" s="74" t="str">
        <f t="shared" si="0"/>
        <v>≤ 7 d</v>
      </c>
      <c r="O55" s="74" t="str">
        <f t="shared" si="0"/>
        <v>≤ 14 d</v>
      </c>
      <c r="P55" s="74">
        <f t="shared" si="0"/>
        <v>0</v>
      </c>
      <c r="Q55" s="74" t="str">
        <f t="shared" si="0"/>
        <v/>
      </c>
      <c r="R55" s="74" t="str">
        <f t="shared" si="0"/>
        <v/>
      </c>
    </row>
    <row r="56" spans="1:18" s="12" customFormat="1" hidden="1" x14ac:dyDescent="0.2">
      <c r="A56" s="15" t="str">
        <f>IF(Allgemein!F43=0,"",Allgemein!F43)</f>
        <v>Technische Universität Berlin</v>
      </c>
      <c r="B56" s="28"/>
      <c r="C56" s="163"/>
      <c r="D56" s="164"/>
      <c r="E56" s="165"/>
      <c r="F56" s="28"/>
      <c r="G56" s="163"/>
      <c r="H56" s="164"/>
      <c r="I56" s="164"/>
      <c r="J56" s="165"/>
      <c r="K56" s="77"/>
      <c r="L56" s="77"/>
      <c r="M56" s="77"/>
      <c r="N56" s="77"/>
      <c r="O56" s="77"/>
      <c r="P56" s="77"/>
      <c r="Q56" s="77"/>
      <c r="R56" s="77"/>
    </row>
    <row r="57" spans="1:18" s="12" customFormat="1" ht="12" hidden="1" customHeight="1" x14ac:dyDescent="0.2">
      <c r="A57" s="15" t="str">
        <f>IF(Allgemein!F44=0,"",Allgemein!F44)</f>
        <v>Deutsches Luft- und Raumfahrtzentrum</v>
      </c>
      <c r="B57" s="28"/>
      <c r="C57" s="163"/>
      <c r="D57" s="164"/>
      <c r="E57" s="165"/>
      <c r="F57" s="28"/>
      <c r="G57" s="163"/>
      <c r="H57" s="164"/>
      <c r="I57" s="164"/>
      <c r="J57" s="165"/>
      <c r="K57" s="77"/>
      <c r="L57" s="77"/>
      <c r="M57" s="77"/>
      <c r="N57" s="77"/>
      <c r="O57" s="77"/>
      <c r="P57" s="77"/>
      <c r="Q57" s="77"/>
      <c r="R57" s="77"/>
    </row>
    <row r="58" spans="1:18" s="12" customFormat="1" ht="24" hidden="1" x14ac:dyDescent="0.2">
      <c r="A58" s="15" t="str">
        <f>IF(Allgemein!F45=0,"",Allgemein!F45)</f>
        <v>Deutsches Zentrum für Satelliten-Kommunikation</v>
      </c>
      <c r="B58" s="28"/>
      <c r="C58" s="163"/>
      <c r="D58" s="164"/>
      <c r="E58" s="165"/>
      <c r="F58" s="28"/>
      <c r="G58" s="163"/>
      <c r="H58" s="164"/>
      <c r="I58" s="164"/>
      <c r="J58" s="165"/>
      <c r="K58" s="77"/>
      <c r="L58" s="77"/>
      <c r="M58" s="77"/>
      <c r="N58" s="77"/>
      <c r="O58" s="77"/>
      <c r="P58" s="77"/>
      <c r="Q58" s="77"/>
      <c r="R58" s="77"/>
    </row>
    <row r="59" spans="1:18" s="12" customFormat="1" hidden="1" x14ac:dyDescent="0.2">
      <c r="A59" s="15" t="str">
        <f>IF(Allgemein!F46=0,"",Allgemein!F46)</f>
        <v>bdew/Vattenfall</v>
      </c>
      <c r="B59" s="28"/>
      <c r="C59" s="163"/>
      <c r="D59" s="164"/>
      <c r="E59" s="165"/>
      <c r="F59" s="28"/>
      <c r="G59" s="163"/>
      <c r="H59" s="164"/>
      <c r="I59" s="164"/>
      <c r="J59" s="165"/>
      <c r="K59" s="77"/>
      <c r="L59" s="77"/>
      <c r="M59" s="77"/>
      <c r="N59" s="77"/>
      <c r="O59" s="77"/>
      <c r="P59" s="77"/>
      <c r="Q59" s="77"/>
      <c r="R59" s="77"/>
    </row>
    <row r="60" spans="1:18" s="12" customFormat="1" ht="12" hidden="1" customHeight="1" x14ac:dyDescent="0.2">
      <c r="A60" s="15" t="str">
        <f>IF(Allgemein!F47=0,"",Allgemein!F47)</f>
        <v>Ruhr-Universität Bochum</v>
      </c>
      <c r="B60" s="28"/>
      <c r="C60" s="163"/>
      <c r="D60" s="164"/>
      <c r="E60" s="165"/>
      <c r="F60" s="28"/>
      <c r="G60" s="163"/>
      <c r="H60" s="164"/>
      <c r="I60" s="164"/>
      <c r="J60" s="165"/>
      <c r="K60" s="77"/>
      <c r="L60" s="77"/>
      <c r="M60" s="77"/>
      <c r="N60" s="77"/>
      <c r="O60" s="77"/>
      <c r="P60" s="77"/>
      <c r="Q60" s="77"/>
      <c r="R60" s="77"/>
    </row>
    <row r="61" spans="1:18" s="12" customFormat="1" hidden="1" x14ac:dyDescent="0.2">
      <c r="A61" s="15" t="str">
        <f>IF(Allgemein!F48=0,"",Allgemein!F48)</f>
        <v>QuantiCor</v>
      </c>
      <c r="B61" s="28"/>
      <c r="C61" s="163"/>
      <c r="D61" s="164"/>
      <c r="E61" s="165"/>
      <c r="F61" s="28"/>
      <c r="G61" s="163"/>
      <c r="H61" s="164"/>
      <c r="I61" s="164"/>
      <c r="J61" s="165"/>
      <c r="K61" s="77"/>
      <c r="L61" s="77"/>
      <c r="M61" s="77"/>
      <c r="N61" s="77"/>
      <c r="O61" s="77"/>
      <c r="P61" s="77"/>
      <c r="Q61" s="77"/>
      <c r="R61" s="77"/>
    </row>
    <row r="62" spans="1:18" s="12" customFormat="1" hidden="1" x14ac:dyDescent="0.2">
      <c r="A62" s="15" t="str">
        <f>IF(Allgemein!F49=0,"",Allgemein!F49)</f>
        <v>Berlin Nanosatellite Alliance</v>
      </c>
      <c r="B62" s="28"/>
      <c r="C62" s="163"/>
      <c r="D62" s="164"/>
      <c r="E62" s="165"/>
      <c r="F62" s="28"/>
      <c r="G62" s="163"/>
      <c r="H62" s="164"/>
      <c r="I62" s="164"/>
      <c r="J62" s="165"/>
      <c r="K62" s="77"/>
      <c r="L62" s="77"/>
      <c r="M62" s="77"/>
      <c r="N62" s="77"/>
      <c r="O62" s="77"/>
      <c r="P62" s="77"/>
      <c r="Q62" s="77"/>
      <c r="R62" s="77"/>
    </row>
    <row r="63" spans="1:18" s="12" customFormat="1" ht="12" hidden="1" customHeight="1" x14ac:dyDescent="0.2">
      <c r="A63" s="15" t="str">
        <f>IF(Allgemein!F50=0,"",Allgemein!F50)</f>
        <v/>
      </c>
      <c r="B63" s="28"/>
      <c r="C63" s="163"/>
      <c r="D63" s="164"/>
      <c r="E63" s="165"/>
      <c r="F63" s="28"/>
      <c r="G63" s="163"/>
      <c r="H63" s="164"/>
      <c r="I63" s="164"/>
      <c r="J63" s="165"/>
      <c r="K63" s="77"/>
      <c r="L63" s="77"/>
      <c r="M63" s="77"/>
      <c r="N63" s="77"/>
      <c r="O63" s="77"/>
      <c r="P63" s="77"/>
      <c r="Q63" s="77"/>
      <c r="R63" s="77"/>
    </row>
    <row r="64" spans="1:18" s="12" customFormat="1" hidden="1" x14ac:dyDescent="0.2">
      <c r="A64" s="15" t="str">
        <f>IF(Allgemein!F51=0,"",Allgemein!F51)</f>
        <v/>
      </c>
      <c r="B64" s="28"/>
      <c r="C64" s="163"/>
      <c r="D64" s="164"/>
      <c r="E64" s="165"/>
      <c r="F64" s="28"/>
      <c r="G64" s="163"/>
      <c r="H64" s="164"/>
      <c r="I64" s="164"/>
      <c r="J64" s="165"/>
      <c r="K64" s="77"/>
      <c r="L64" s="77"/>
      <c r="M64" s="77"/>
      <c r="N64" s="77"/>
      <c r="O64" s="77"/>
      <c r="P64" s="77"/>
      <c r="Q64" s="77"/>
      <c r="R64" s="77"/>
    </row>
    <row r="65" spans="1:18" s="12" customFormat="1" hidden="1" x14ac:dyDescent="0.2">
      <c r="A65" s="15" t="str">
        <f>IF(Allgemein!F52=0,"",Allgemein!F52)</f>
        <v/>
      </c>
      <c r="B65" s="28"/>
      <c r="C65" s="163"/>
      <c r="D65" s="164"/>
      <c r="E65" s="165"/>
      <c r="F65" s="28"/>
      <c r="G65" s="163"/>
      <c r="H65" s="164"/>
      <c r="I65" s="164"/>
      <c r="J65" s="165"/>
      <c r="K65" s="77"/>
      <c r="L65" s="77"/>
      <c r="M65" s="77"/>
      <c r="N65" s="77"/>
      <c r="O65" s="77"/>
      <c r="P65" s="77"/>
      <c r="Q65" s="77"/>
      <c r="R65" s="77"/>
    </row>
    <row r="66" spans="1:18" s="12" customFormat="1" hidden="1" x14ac:dyDescent="0.2">
      <c r="A66" s="15" t="str">
        <f>IF(Allgemein!F53=0,"",Allgemein!F53)</f>
        <v/>
      </c>
      <c r="B66" s="28"/>
      <c r="C66" s="163"/>
      <c r="D66" s="164"/>
      <c r="E66" s="165"/>
      <c r="F66" s="28"/>
      <c r="G66" s="163"/>
      <c r="H66" s="164"/>
      <c r="I66" s="164"/>
      <c r="J66" s="165"/>
      <c r="K66" s="77"/>
      <c r="L66" s="77"/>
      <c r="M66" s="77"/>
      <c r="N66" s="77"/>
      <c r="O66" s="77"/>
      <c r="P66" s="77"/>
      <c r="Q66" s="77"/>
      <c r="R66" s="77"/>
    </row>
    <row r="67" spans="1:18" s="12" customFormat="1" hidden="1" x14ac:dyDescent="0.2">
      <c r="A67" s="15" t="str">
        <f>IF(Allgemein!F54=0,"",Allgemein!F54)</f>
        <v/>
      </c>
      <c r="B67" s="28"/>
      <c r="C67" s="163"/>
      <c r="D67" s="164"/>
      <c r="E67" s="165"/>
      <c r="F67" s="28"/>
      <c r="G67" s="163"/>
      <c r="H67" s="164"/>
      <c r="I67" s="164"/>
      <c r="J67" s="165"/>
      <c r="K67" s="77"/>
      <c r="L67" s="77"/>
      <c r="M67" s="77"/>
      <c r="N67" s="77"/>
      <c r="O67" s="77"/>
      <c r="P67" s="77"/>
      <c r="Q67" s="77"/>
      <c r="R67" s="77"/>
    </row>
    <row r="68" spans="1:18" s="12" customFormat="1" hidden="1" x14ac:dyDescent="0.2">
      <c r="A68" s="15" t="str">
        <f>IF(Allgemein!F55=0,"",Allgemein!F55)</f>
        <v/>
      </c>
      <c r="B68" s="28"/>
      <c r="C68" s="163"/>
      <c r="D68" s="164"/>
      <c r="E68" s="165"/>
      <c r="F68" s="28"/>
      <c r="G68" s="163"/>
      <c r="H68" s="164"/>
      <c r="I68" s="164"/>
      <c r="J68" s="165"/>
      <c r="K68" s="77"/>
      <c r="L68" s="77"/>
      <c r="M68" s="77"/>
      <c r="N68" s="77"/>
      <c r="O68" s="77"/>
      <c r="P68" s="77"/>
      <c r="Q68" s="77"/>
      <c r="R68" s="77"/>
    </row>
    <row r="69" spans="1:18" s="12" customFormat="1" hidden="1" x14ac:dyDescent="0.2">
      <c r="A69" s="15" t="str">
        <f>IF(Allgemein!F56=0,"",Allgemein!F56)</f>
        <v/>
      </c>
      <c r="B69" s="28"/>
      <c r="C69" s="163"/>
      <c r="D69" s="164"/>
      <c r="E69" s="165"/>
      <c r="F69" s="28"/>
      <c r="G69" s="163"/>
      <c r="H69" s="164"/>
      <c r="I69" s="164"/>
      <c r="J69" s="165"/>
      <c r="K69" s="77"/>
      <c r="L69" s="77"/>
      <c r="M69" s="77"/>
      <c r="N69" s="77"/>
      <c r="O69" s="77"/>
      <c r="P69" s="77"/>
      <c r="Q69" s="77"/>
      <c r="R69" s="77"/>
    </row>
    <row r="70" spans="1:18" s="12" customFormat="1" hidden="1" x14ac:dyDescent="0.2">
      <c r="A70" s="15" t="str">
        <f>IF(Allgemein!F57=0,"",Allgemein!F57)</f>
        <v/>
      </c>
      <c r="B70" s="28"/>
      <c r="C70" s="163"/>
      <c r="D70" s="164"/>
      <c r="E70" s="165"/>
      <c r="F70" s="28"/>
      <c r="G70" s="163"/>
      <c r="H70" s="164"/>
      <c r="I70" s="164"/>
      <c r="J70" s="165"/>
      <c r="K70" s="77"/>
      <c r="L70" s="77"/>
      <c r="M70" s="77"/>
      <c r="N70" s="77"/>
      <c r="O70" s="77"/>
      <c r="P70" s="77"/>
      <c r="Q70" s="77"/>
      <c r="R70" s="77"/>
    </row>
    <row r="71" spans="1:18" s="12" customFormat="1" hidden="1" x14ac:dyDescent="0.2">
      <c r="A71" s="15" t="str">
        <f>IF(Allgemein!F58=0,"",Allgemein!F58)</f>
        <v/>
      </c>
      <c r="B71" s="28"/>
      <c r="C71" s="163"/>
      <c r="D71" s="164"/>
      <c r="E71" s="165"/>
      <c r="F71" s="28"/>
      <c r="G71" s="163"/>
      <c r="H71" s="164"/>
      <c r="I71" s="164"/>
      <c r="J71" s="165"/>
      <c r="K71" s="77"/>
      <c r="L71" s="77"/>
      <c r="M71" s="77"/>
      <c r="N71" s="77"/>
      <c r="O71" s="77"/>
      <c r="P71" s="77"/>
      <c r="Q71" s="77"/>
      <c r="R71" s="77"/>
    </row>
    <row r="72" spans="1:18" s="12" customFormat="1" hidden="1" x14ac:dyDescent="0.2">
      <c r="A72" s="15" t="str">
        <f>IF(Allgemein!F59=0,"",Allgemein!F59)</f>
        <v/>
      </c>
      <c r="B72" s="28"/>
      <c r="C72" s="163"/>
      <c r="D72" s="164"/>
      <c r="E72" s="165"/>
      <c r="F72" s="28"/>
      <c r="G72" s="163"/>
      <c r="H72" s="164"/>
      <c r="I72" s="164"/>
      <c r="J72" s="165"/>
      <c r="K72" s="77"/>
      <c r="L72" s="77"/>
      <c r="M72" s="77"/>
      <c r="N72" s="77"/>
      <c r="O72" s="77"/>
      <c r="P72" s="77"/>
      <c r="Q72" s="77"/>
      <c r="R72" s="77"/>
    </row>
    <row r="73" spans="1:18" s="12" customFormat="1" hidden="1" x14ac:dyDescent="0.2">
      <c r="A73" s="15" t="str">
        <f>IF(Allgemein!F60=0,"",Allgemein!F60)</f>
        <v/>
      </c>
      <c r="B73" s="28"/>
      <c r="C73" s="163"/>
      <c r="D73" s="164"/>
      <c r="E73" s="165"/>
      <c r="F73" s="28"/>
      <c r="G73" s="163"/>
      <c r="H73" s="164"/>
      <c r="I73" s="164"/>
      <c r="J73" s="165"/>
      <c r="K73" s="77"/>
      <c r="L73" s="77"/>
      <c r="M73" s="77"/>
      <c r="N73" s="77"/>
      <c r="O73" s="77"/>
      <c r="P73" s="77"/>
      <c r="Q73" s="77"/>
      <c r="R73" s="77"/>
    </row>
    <row r="74" spans="1:18" s="12" customFormat="1" hidden="1" x14ac:dyDescent="0.2">
      <c r="A74" s="15" t="str">
        <f>IF(Allgemein!F61=0,"",Allgemein!F61)</f>
        <v/>
      </c>
      <c r="B74" s="28"/>
      <c r="C74" s="163"/>
      <c r="D74" s="164"/>
      <c r="E74" s="165"/>
      <c r="F74" s="28"/>
      <c r="G74" s="163"/>
      <c r="H74" s="164"/>
      <c r="I74" s="164"/>
      <c r="J74" s="165"/>
      <c r="K74" s="77"/>
      <c r="L74" s="77"/>
      <c r="M74" s="77"/>
      <c r="N74" s="77"/>
      <c r="O74" s="77"/>
      <c r="P74" s="77"/>
      <c r="Q74" s="77"/>
      <c r="R74" s="77"/>
    </row>
    <row r="75" spans="1:18" s="12" customFormat="1" hidden="1" x14ac:dyDescent="0.2">
      <c r="A75" s="15" t="str">
        <f>IF(Allgemein!F62=0,"",Allgemein!F62)</f>
        <v/>
      </c>
      <c r="B75" s="28"/>
      <c r="C75" s="163"/>
      <c r="D75" s="164"/>
      <c r="E75" s="165"/>
      <c r="F75" s="28"/>
      <c r="G75" s="163"/>
      <c r="H75" s="164"/>
      <c r="I75" s="164"/>
      <c r="J75" s="165"/>
      <c r="K75" s="77"/>
      <c r="L75" s="77"/>
      <c r="M75" s="77"/>
      <c r="N75" s="77"/>
      <c r="O75" s="77"/>
      <c r="P75" s="77"/>
      <c r="Q75" s="77"/>
      <c r="R75" s="77"/>
    </row>
    <row r="76" spans="1:18" s="12" customFormat="1" hidden="1" x14ac:dyDescent="0.2"/>
    <row r="77" spans="1:18" s="12" customFormat="1" ht="24" hidden="1" customHeight="1" x14ac:dyDescent="0.2">
      <c r="A77" s="74" t="s">
        <v>58</v>
      </c>
      <c r="B77" s="82" t="s">
        <v>63</v>
      </c>
      <c r="C77" s="74" t="s">
        <v>69</v>
      </c>
      <c r="E77" s="153" t="s">
        <v>79</v>
      </c>
      <c r="F77" s="155"/>
      <c r="G77" s="74" t="s">
        <v>63</v>
      </c>
      <c r="H77" s="74" t="s">
        <v>69</v>
      </c>
    </row>
    <row r="78" spans="1:18" s="12" customFormat="1" hidden="1" x14ac:dyDescent="0.2">
      <c r="A78" s="22" t="str">
        <f>IF(Allgemein!P43=0,"",Allgemein!P43)</f>
        <v/>
      </c>
      <c r="B78" s="27"/>
      <c r="C78" s="28"/>
      <c r="E78" s="163" t="str">
        <f>IF(Allgemein!N43=0,"",Allgemein!N43)</f>
        <v>Mobiler Arbeitsplatz</v>
      </c>
      <c r="F78" s="165"/>
      <c r="G78" s="28"/>
      <c r="H78" s="28"/>
    </row>
    <row r="79" spans="1:18" s="12" customFormat="1" hidden="1" x14ac:dyDescent="0.2">
      <c r="A79" s="22" t="str">
        <f>IF(Allgemein!P44=0,"",Allgemein!P44)</f>
        <v/>
      </c>
      <c r="B79" s="27"/>
      <c r="C79" s="28"/>
      <c r="E79" s="163" t="str">
        <f>IF(Allgemein!N44=0,"",Allgemein!N44)</f>
        <v>Scanner (Dokument)</v>
      </c>
      <c r="F79" s="165"/>
      <c r="G79" s="28"/>
      <c r="H79" s="28"/>
    </row>
    <row r="80" spans="1:18" s="12" customFormat="1" ht="12" hidden="1" customHeight="1" x14ac:dyDescent="0.2">
      <c r="A80" s="22" t="str">
        <f>IF(Allgemein!P45=0,"",Allgemein!P45)</f>
        <v/>
      </c>
      <c r="B80" s="27"/>
      <c r="C80" s="28"/>
      <c r="E80" s="163" t="str">
        <f>IF(Allgemein!N45=0,"",Allgemein!N45)</f>
        <v>Drucker (normal)</v>
      </c>
      <c r="F80" s="165"/>
      <c r="G80" s="28"/>
      <c r="H80" s="28"/>
    </row>
    <row r="81" spans="1:8" s="12" customFormat="1" ht="12" hidden="1" customHeight="1" x14ac:dyDescent="0.2">
      <c r="A81" s="22" t="str">
        <f>IF(Allgemein!P46=0,"",Allgemein!P46)</f>
        <v/>
      </c>
      <c r="B81" s="27"/>
      <c r="C81" s="28"/>
      <c r="E81" s="163" t="str">
        <f>IF(Allgemein!N46=0,"",Allgemein!N46)</f>
        <v>Laptop</v>
      </c>
      <c r="F81" s="165"/>
      <c r="G81" s="28"/>
      <c r="H81" s="28"/>
    </row>
    <row r="82" spans="1:8" s="12" customFormat="1" ht="12" hidden="1" customHeight="1" x14ac:dyDescent="0.2">
      <c r="A82" s="22" t="str">
        <f>IF(Allgemein!P47=0,"",Allgemein!P47)</f>
        <v/>
      </c>
      <c r="B82" s="27"/>
      <c r="C82" s="28"/>
      <c r="E82" s="163" t="str">
        <f>IF(Allgemein!N47=0,"",Allgemein!N47)</f>
        <v>Router/Switch</v>
      </c>
      <c r="F82" s="165"/>
      <c r="G82" s="28"/>
      <c r="H82" s="28"/>
    </row>
    <row r="83" spans="1:8" s="12" customFormat="1" ht="12" hidden="1" customHeight="1" x14ac:dyDescent="0.2">
      <c r="A83" s="22" t="str">
        <f>IF(Allgemein!P48=0,"",Allgemein!P48)</f>
        <v/>
      </c>
      <c r="B83" s="27"/>
      <c r="C83" s="28"/>
      <c r="E83" s="163" t="str">
        <f>IF(Allgemein!N48=0,"",Allgemein!N48)</f>
        <v/>
      </c>
      <c r="F83" s="165"/>
      <c r="G83" s="28"/>
      <c r="H83" s="28"/>
    </row>
    <row r="84" spans="1:8" s="12" customFormat="1" hidden="1" x14ac:dyDescent="0.2">
      <c r="A84" s="22" t="str">
        <f>IF(Allgemein!P49=0,"",Allgemein!P49)</f>
        <v/>
      </c>
      <c r="B84" s="27"/>
      <c r="C84" s="28"/>
      <c r="E84" s="163" t="str">
        <f>IF(Allgemein!N49=0,"",Allgemein!N49)</f>
        <v/>
      </c>
      <c r="F84" s="165"/>
      <c r="G84" s="28"/>
      <c r="H84" s="28"/>
    </row>
    <row r="85" spans="1:8" s="12" customFormat="1" hidden="1" x14ac:dyDescent="0.2">
      <c r="A85" s="22" t="str">
        <f>IF(Allgemein!P50=0,"",Allgemein!P50)</f>
        <v/>
      </c>
      <c r="B85" s="27"/>
      <c r="C85" s="28"/>
      <c r="E85" s="163" t="str">
        <f>IF(Allgemein!N50=0,"",Allgemein!N50)</f>
        <v/>
      </c>
      <c r="F85" s="165"/>
      <c r="G85" s="28"/>
      <c r="H85" s="28"/>
    </row>
    <row r="86" spans="1:8" s="12" customFormat="1" hidden="1" x14ac:dyDescent="0.2">
      <c r="A86" s="22" t="str">
        <f>IF(Allgemein!P51=0,"",Allgemein!P51)</f>
        <v/>
      </c>
      <c r="B86" s="27"/>
      <c r="C86" s="28"/>
      <c r="E86" s="163" t="str">
        <f>IF(Allgemein!N51=0,"",Allgemein!N51)</f>
        <v/>
      </c>
      <c r="F86" s="165"/>
      <c r="G86" s="28"/>
      <c r="H86" s="28"/>
    </row>
    <row r="87" spans="1:8" s="12" customFormat="1" hidden="1" x14ac:dyDescent="0.2">
      <c r="A87" s="22" t="str">
        <f>IF(Allgemein!P52=0,"",Allgemein!P52)</f>
        <v/>
      </c>
      <c r="B87" s="27"/>
      <c r="C87" s="28"/>
      <c r="E87" s="163" t="str">
        <f>IF(Allgemein!N52=0,"",Allgemein!N52)</f>
        <v/>
      </c>
      <c r="F87" s="165"/>
      <c r="G87" s="28"/>
      <c r="H87" s="28"/>
    </row>
    <row r="88" spans="1:8" s="12" customFormat="1" hidden="1" x14ac:dyDescent="0.2">
      <c r="A88" s="22" t="str">
        <f>IF(Allgemein!P53=0,"",Allgemein!P53)</f>
        <v/>
      </c>
      <c r="B88" s="27"/>
      <c r="C88" s="28"/>
      <c r="E88" s="163" t="str">
        <f>IF(Allgemein!N53=0,"",Allgemein!N53)</f>
        <v/>
      </c>
      <c r="F88" s="165"/>
      <c r="G88" s="28"/>
      <c r="H88" s="28"/>
    </row>
    <row r="89" spans="1:8" s="12" customFormat="1" hidden="1" x14ac:dyDescent="0.2">
      <c r="A89" s="22" t="str">
        <f>IF(Allgemein!P54=0,"",Allgemein!P54)</f>
        <v/>
      </c>
      <c r="B89" s="27"/>
      <c r="C89" s="28"/>
      <c r="E89" s="163" t="str">
        <f>IF(Allgemein!N54=0,"",Allgemein!N54)</f>
        <v/>
      </c>
      <c r="F89" s="165"/>
      <c r="G89" s="28"/>
      <c r="H89" s="28"/>
    </row>
    <row r="90" spans="1:8" s="12" customFormat="1" hidden="1" x14ac:dyDescent="0.2">
      <c r="A90" s="22" t="str">
        <f>IF(Allgemein!P55=0,"",Allgemein!P55)</f>
        <v/>
      </c>
      <c r="B90" s="27"/>
      <c r="C90" s="28"/>
      <c r="E90" s="163" t="str">
        <f>IF(Allgemein!N55=0,"",Allgemein!N55)</f>
        <v/>
      </c>
      <c r="F90" s="165"/>
      <c r="G90" s="28"/>
      <c r="H90" s="28"/>
    </row>
    <row r="91" spans="1:8" s="12" customFormat="1" hidden="1" x14ac:dyDescent="0.2">
      <c r="A91" s="22" t="str">
        <f>IF(Allgemein!P56=0,"",Allgemein!P56)</f>
        <v/>
      </c>
      <c r="B91" s="27"/>
      <c r="C91" s="28"/>
      <c r="E91" s="163" t="str">
        <f>IF(Allgemein!N56=0,"",Allgemein!N56)</f>
        <v/>
      </c>
      <c r="F91" s="165"/>
      <c r="G91" s="28"/>
      <c r="H91" s="28"/>
    </row>
    <row r="92" spans="1:8" s="12" customFormat="1" hidden="1" x14ac:dyDescent="0.2">
      <c r="A92" s="22" t="str">
        <f>IF(Allgemein!P57=0,"",Allgemein!P57)</f>
        <v/>
      </c>
      <c r="B92" s="27"/>
      <c r="C92" s="28"/>
      <c r="E92" s="163" t="str">
        <f>IF(Allgemein!N57=0,"",Allgemein!N57)</f>
        <v/>
      </c>
      <c r="F92" s="165"/>
      <c r="G92" s="28"/>
      <c r="H92" s="28"/>
    </row>
    <row r="93" spans="1:8" s="12" customFormat="1" hidden="1" x14ac:dyDescent="0.2">
      <c r="A93" s="22" t="str">
        <f>IF(Allgemein!P58=0,"",Allgemein!P58)</f>
        <v/>
      </c>
      <c r="B93" s="27"/>
      <c r="C93" s="28"/>
      <c r="E93" s="163" t="str">
        <f>IF(Allgemein!N58=0,"",Allgemein!N58)</f>
        <v/>
      </c>
      <c r="F93" s="165"/>
      <c r="G93" s="28"/>
      <c r="H93" s="28"/>
    </row>
    <row r="94" spans="1:8" s="12" customFormat="1" hidden="1" x14ac:dyDescent="0.2">
      <c r="A94" s="22" t="str">
        <f>IF(Allgemein!P59=0,"",Allgemein!P59)</f>
        <v/>
      </c>
      <c r="B94" s="27"/>
      <c r="C94" s="28"/>
      <c r="E94" s="163" t="str">
        <f>IF(Allgemein!N59=0,"",Allgemein!N59)</f>
        <v/>
      </c>
      <c r="F94" s="165"/>
      <c r="G94" s="28"/>
      <c r="H94" s="28"/>
    </row>
    <row r="95" spans="1:8" s="12" customFormat="1" hidden="1" x14ac:dyDescent="0.2">
      <c r="A95" s="22" t="str">
        <f>IF(Allgemein!P60=0,"",Allgemein!P60)</f>
        <v/>
      </c>
      <c r="B95" s="27"/>
      <c r="C95" s="28"/>
      <c r="E95" s="163" t="str">
        <f>IF(Allgemein!N60=0,"",Allgemein!N60)</f>
        <v/>
      </c>
      <c r="F95" s="165"/>
      <c r="G95" s="28"/>
      <c r="H95" s="28"/>
    </row>
    <row r="96" spans="1:8" s="12" customFormat="1" hidden="1" x14ac:dyDescent="0.2">
      <c r="A96" s="22" t="str">
        <f>IF(Allgemein!P61=0,"",Allgemein!P61)</f>
        <v/>
      </c>
      <c r="B96" s="27"/>
      <c r="C96" s="28"/>
      <c r="E96" s="163" t="str">
        <f>IF(Allgemein!N61=0,"",Allgemein!N61)</f>
        <v/>
      </c>
      <c r="F96" s="165"/>
      <c r="G96" s="28"/>
      <c r="H96" s="28"/>
    </row>
    <row r="97" spans="1:43" s="12" customFormat="1" hidden="1" x14ac:dyDescent="0.2">
      <c r="A97" s="22" t="str">
        <f>IF(Allgemein!P62=0,"",Allgemein!P62)</f>
        <v/>
      </c>
      <c r="B97" s="27"/>
      <c r="C97" s="28"/>
      <c r="E97" s="163" t="str">
        <f>IF(Allgemein!N62=0,"",Allgemein!N62)</f>
        <v/>
      </c>
      <c r="F97" s="165"/>
      <c r="G97" s="28"/>
      <c r="H97" s="28"/>
    </row>
    <row r="98" spans="1:43" s="12" customFormat="1" hidden="1" x14ac:dyDescent="0.2">
      <c r="A98" s="22" t="str">
        <f>IF(Allgemein!P63=0,"",Allgemein!P63)</f>
        <v/>
      </c>
      <c r="B98" s="27"/>
      <c r="C98" s="28"/>
      <c r="E98" s="163" t="str">
        <f>IF(Allgemein!N63=0,"",Allgemein!N63)</f>
        <v/>
      </c>
      <c r="F98" s="165"/>
      <c r="G98" s="28"/>
      <c r="H98" s="28"/>
    </row>
    <row r="99" spans="1:43" s="12" customFormat="1" hidden="1" x14ac:dyDescent="0.2">
      <c r="A99" s="22" t="str">
        <f>IF(Allgemein!P64=0,"",Allgemein!P64)</f>
        <v/>
      </c>
      <c r="B99" s="27"/>
      <c r="C99" s="28"/>
      <c r="E99" s="163" t="str">
        <f>IF(Allgemein!N64=0,"",Allgemein!N64)</f>
        <v/>
      </c>
      <c r="F99" s="165"/>
      <c r="G99" s="28"/>
      <c r="H99" s="28"/>
    </row>
    <row r="100" spans="1:43" s="12" customFormat="1" hidden="1" x14ac:dyDescent="0.2">
      <c r="A100" s="22" t="str">
        <f>IF(Allgemein!P65=0,"",Allgemein!P65)</f>
        <v/>
      </c>
      <c r="B100" s="27"/>
      <c r="C100" s="28"/>
      <c r="E100" s="163" t="str">
        <f>IF(Allgemein!N65=0,"",Allgemein!N65)</f>
        <v/>
      </c>
      <c r="F100" s="165"/>
      <c r="G100" s="28"/>
      <c r="H100" s="28"/>
    </row>
    <row r="101" spans="1:43" s="12" customFormat="1" hidden="1" x14ac:dyDescent="0.2">
      <c r="A101" s="22" t="str">
        <f>IF(Allgemein!P66=0,"",Allgemein!P66)</f>
        <v/>
      </c>
      <c r="B101" s="27"/>
      <c r="C101" s="28"/>
      <c r="E101" s="163" t="str">
        <f>IF(Allgemein!N66=0,"",Allgemein!N66)</f>
        <v/>
      </c>
      <c r="F101" s="165"/>
      <c r="G101" s="28"/>
      <c r="H101" s="28"/>
    </row>
    <row r="102" spans="1:43" s="12" customFormat="1" hidden="1" x14ac:dyDescent="0.2">
      <c r="A102" s="22" t="str">
        <f>IF(Allgemein!P67=0,"",Allgemein!P67)</f>
        <v/>
      </c>
      <c r="B102" s="27"/>
      <c r="C102" s="28"/>
      <c r="E102" s="163" t="str">
        <f>IF(Allgemein!N67=0,"",Allgemein!N67)</f>
        <v/>
      </c>
      <c r="F102" s="165"/>
      <c r="G102" s="28"/>
      <c r="H102" s="28"/>
    </row>
    <row r="103" spans="1:43" s="12" customFormat="1" hidden="1" x14ac:dyDescent="0.2">
      <c r="A103" s="22" t="str">
        <f>IF(Allgemein!P68=0,"",Allgemein!P68)</f>
        <v/>
      </c>
      <c r="B103" s="27"/>
      <c r="C103" s="28"/>
      <c r="E103" s="163" t="str">
        <f>IF(Allgemein!N68=0,"",Allgemein!N68)</f>
        <v/>
      </c>
      <c r="F103" s="165"/>
      <c r="G103" s="28"/>
      <c r="H103" s="28"/>
    </row>
    <row r="104" spans="1:43" s="12" customFormat="1" hidden="1" x14ac:dyDescent="0.2">
      <c r="A104" s="13"/>
      <c r="B104" s="13"/>
      <c r="C104" s="13"/>
    </row>
    <row r="105" spans="1:43" s="12" customFormat="1" ht="107.1" customHeight="1" x14ac:dyDescent="0.2">
      <c r="A105" s="153" t="s">
        <v>80</v>
      </c>
      <c r="B105" s="155"/>
      <c r="C105" s="74"/>
      <c r="D105" s="34" t="str">
        <f>Allgemein!C43</f>
        <v>Arbeitsergebnisse</v>
      </c>
      <c r="E105" s="34" t="s">
        <v>363</v>
      </c>
      <c r="F105" s="34" t="str">
        <f>Allgemein!C44</f>
        <v>Projektdokumentation</v>
      </c>
      <c r="G105" s="34" t="str">
        <f>Allgemein!C45</f>
        <v>IT-System- und Dokumentenmanagement</v>
      </c>
      <c r="H105" s="34" t="str">
        <f>Allgemein!C46</f>
        <v>Altprojektdatenbank</v>
      </c>
      <c r="I105" s="34" t="str">
        <f>Allgemein!C47</f>
        <v>Projektfeinplanung (Arbeitspakete - Git Tickets)</v>
      </c>
      <c r="J105" s="34" t="str">
        <f>Allgemein!C48</f>
        <v>Projektgrobplanung</v>
      </c>
      <c r="K105" s="34" t="str">
        <f>Allgemein!C49</f>
        <v>Rechnungsmanagement</v>
      </c>
      <c r="L105" s="34" t="str">
        <f>Allgemein!C50</f>
        <v>Projektbasierte Risikoanalyse</v>
      </c>
      <c r="M105" s="34" t="str">
        <f>Allgemein!C51</f>
        <v>Wiki Wissensdatenbank</v>
      </c>
      <c r="N105" s="34" t="str">
        <f>Allgemein!C52</f>
        <v>Source Code</v>
      </c>
      <c r="O105" s="34" t="str">
        <f>Allgemein!C53</f>
        <v>Missionsdaten</v>
      </c>
      <c r="P105" s="34" t="str">
        <f>Allgemein!C54</f>
        <v>Schlüsselmaterial Mission</v>
      </c>
      <c r="Q105" s="34">
        <f>Allgemein!C56</f>
        <v>0</v>
      </c>
      <c r="R105" s="34">
        <f>Allgemein!C57</f>
        <v>0</v>
      </c>
      <c r="S105" s="34">
        <f>Allgemein!C58</f>
        <v>0</v>
      </c>
      <c r="T105" s="34">
        <f>Allgemein!C59</f>
        <v>0</v>
      </c>
      <c r="U105" s="34">
        <f>Allgemein!C60</f>
        <v>0</v>
      </c>
      <c r="V105" s="34">
        <f>Allgemein!C61</f>
        <v>0</v>
      </c>
      <c r="W105" s="34">
        <f>Allgemein!C62</f>
        <v>0</v>
      </c>
      <c r="X105" s="34">
        <f>Allgemein!C63</f>
        <v>0</v>
      </c>
      <c r="Y105" s="34">
        <f>Allgemein!C64</f>
        <v>0</v>
      </c>
      <c r="Z105" s="34">
        <f>Allgemein!C65</f>
        <v>0</v>
      </c>
      <c r="AA105" s="34">
        <f>Allgemein!C66</f>
        <v>0</v>
      </c>
      <c r="AB105" s="34">
        <f>Allgemein!C67</f>
        <v>0</v>
      </c>
      <c r="AC105" s="34">
        <f>Allgemein!C68</f>
        <v>0</v>
      </c>
      <c r="AD105" s="34">
        <f>Allgemein!C69</f>
        <v>0</v>
      </c>
      <c r="AE105" s="34">
        <f>Allgemein!C70</f>
        <v>0</v>
      </c>
      <c r="AF105" s="34">
        <f>Allgemein!C71</f>
        <v>0</v>
      </c>
      <c r="AG105" s="34">
        <f>Allgemein!C72</f>
        <v>0</v>
      </c>
      <c r="AH105" s="34">
        <f>Allgemein!C73</f>
        <v>0</v>
      </c>
      <c r="AI105" s="34">
        <f>Allgemein!C74</f>
        <v>0</v>
      </c>
      <c r="AJ105" s="34">
        <f>Allgemein!C75</f>
        <v>0</v>
      </c>
      <c r="AK105" s="34">
        <f>Allgemein!C76</f>
        <v>0</v>
      </c>
      <c r="AL105" s="34">
        <f>Allgemein!C77</f>
        <v>0</v>
      </c>
      <c r="AM105" s="34">
        <f>Allgemein!C78</f>
        <v>0</v>
      </c>
      <c r="AN105" s="34">
        <f>Allgemein!C79</f>
        <v>0</v>
      </c>
      <c r="AO105" s="34">
        <f>Allgemein!C80</f>
        <v>0</v>
      </c>
      <c r="AP105" s="34">
        <f>Allgemein!C81</f>
        <v>0</v>
      </c>
      <c r="AQ105" s="34">
        <f>Allgemein!C82</f>
        <v>0</v>
      </c>
    </row>
    <row r="106" spans="1:43" s="12" customFormat="1" x14ac:dyDescent="0.2">
      <c r="A106" s="173" t="s">
        <v>287</v>
      </c>
      <c r="B106" s="173"/>
      <c r="C106" s="35"/>
      <c r="D106" s="104"/>
      <c r="E106" s="35"/>
      <c r="F106" s="35"/>
      <c r="G106" s="35"/>
      <c r="H106" s="104"/>
      <c r="I106" s="104"/>
      <c r="J106" s="35"/>
      <c r="K106" s="104"/>
      <c r="L106" s="104"/>
      <c r="M106" s="104"/>
      <c r="N106" s="104"/>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row>
    <row r="107" spans="1:43" s="12" customFormat="1" x14ac:dyDescent="0.2">
      <c r="A107" s="12" t="s">
        <v>288</v>
      </c>
      <c r="C107" s="35"/>
      <c r="D107" s="104"/>
      <c r="E107" s="35"/>
      <c r="F107" s="35"/>
      <c r="G107" s="35"/>
      <c r="H107" s="104"/>
      <c r="I107" s="104"/>
      <c r="J107" s="35"/>
      <c r="K107" s="104"/>
      <c r="L107" s="104"/>
      <c r="M107" s="104"/>
      <c r="N107" s="104"/>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row>
    <row r="108" spans="1:43" s="12" customFormat="1" x14ac:dyDescent="0.2">
      <c r="A108" s="173" t="s">
        <v>289</v>
      </c>
      <c r="B108" s="173"/>
      <c r="C108" s="35"/>
      <c r="D108" s="104"/>
      <c r="E108" s="35"/>
      <c r="F108" s="115" t="s">
        <v>357</v>
      </c>
      <c r="G108" s="115" t="s">
        <v>357</v>
      </c>
      <c r="H108" s="104"/>
      <c r="I108" s="104"/>
      <c r="J108" s="116"/>
      <c r="K108" s="104"/>
      <c r="L108" s="104"/>
      <c r="M108" s="104"/>
      <c r="N108" s="104"/>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row>
    <row r="109" spans="1:43" s="12" customFormat="1" x14ac:dyDescent="0.2">
      <c r="A109" s="173" t="s">
        <v>290</v>
      </c>
      <c r="B109" s="173"/>
      <c r="C109" s="35"/>
      <c r="D109" s="104"/>
      <c r="E109" s="35"/>
      <c r="F109" s="35"/>
      <c r="G109" s="35"/>
      <c r="H109" s="104"/>
      <c r="I109" s="104"/>
      <c r="J109" s="35"/>
      <c r="K109" s="104"/>
      <c r="L109" s="104"/>
      <c r="M109" s="104"/>
      <c r="N109" s="104"/>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row>
    <row r="110" spans="1:43" s="12" customFormat="1" ht="11.1" customHeight="1" x14ac:dyDescent="0.2">
      <c r="A110" s="114" t="s">
        <v>292</v>
      </c>
      <c r="B110" s="24"/>
      <c r="C110" s="35"/>
      <c r="D110" s="104"/>
      <c r="E110" s="35"/>
      <c r="F110" s="35"/>
      <c r="G110" s="35"/>
      <c r="H110" s="104"/>
      <c r="I110" s="104"/>
      <c r="J110" s="35"/>
      <c r="K110" s="104"/>
      <c r="L110" s="104"/>
      <c r="M110" s="104"/>
      <c r="N110" s="104"/>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row>
    <row r="111" spans="1:43" s="12" customFormat="1" ht="11.1" customHeight="1" x14ac:dyDescent="0.2">
      <c r="A111" s="114" t="s">
        <v>293</v>
      </c>
      <c r="B111" s="24"/>
      <c r="C111" s="35"/>
      <c r="D111" s="104"/>
      <c r="E111" s="35"/>
      <c r="F111" s="35"/>
      <c r="G111" s="35"/>
      <c r="H111" s="104"/>
      <c r="I111" s="104"/>
      <c r="J111" s="35"/>
      <c r="K111" s="104"/>
      <c r="L111" s="104"/>
      <c r="M111" s="104"/>
      <c r="N111" s="104"/>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row>
    <row r="112" spans="1:43" s="12" customFormat="1" ht="11.1" customHeight="1" x14ac:dyDescent="0.2">
      <c r="A112" s="114" t="s">
        <v>294</v>
      </c>
      <c r="B112" s="24"/>
      <c r="C112" s="35"/>
      <c r="D112" s="104"/>
      <c r="E112" s="35"/>
      <c r="F112" s="35"/>
      <c r="G112" s="35"/>
      <c r="H112" s="104"/>
      <c r="I112" s="104"/>
      <c r="J112" s="35"/>
      <c r="K112" s="104"/>
      <c r="L112" s="104"/>
      <c r="M112" s="104"/>
      <c r="N112" s="104"/>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row>
    <row r="113" spans="1:43" s="12" customFormat="1" ht="11.1" customHeight="1" x14ac:dyDescent="0.2">
      <c r="A113" s="114" t="s">
        <v>295</v>
      </c>
      <c r="B113" s="24"/>
      <c r="C113" s="35"/>
      <c r="D113" s="104"/>
      <c r="E113" s="35"/>
      <c r="F113" s="35"/>
      <c r="G113" s="35"/>
      <c r="H113" s="104"/>
      <c r="I113" s="104"/>
      <c r="J113" s="35"/>
      <c r="K113" s="104"/>
      <c r="L113" s="104"/>
      <c r="M113" s="104"/>
      <c r="N113" s="104"/>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row>
    <row r="114" spans="1:43" s="12" customFormat="1" ht="11.1" customHeight="1" x14ac:dyDescent="0.2">
      <c r="A114" s="114" t="s">
        <v>296</v>
      </c>
      <c r="B114" s="24"/>
      <c r="C114" s="35"/>
      <c r="D114" s="104"/>
      <c r="E114" s="35"/>
      <c r="F114" s="35"/>
      <c r="G114" s="35"/>
      <c r="H114" s="104"/>
      <c r="I114" s="104"/>
      <c r="J114" s="35"/>
      <c r="K114" s="104"/>
      <c r="L114" s="104"/>
      <c r="M114" s="104"/>
      <c r="N114" s="104"/>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row>
    <row r="115" spans="1:43" s="12" customFormat="1" ht="11.1" customHeight="1" x14ac:dyDescent="0.2">
      <c r="A115" s="114" t="s">
        <v>297</v>
      </c>
      <c r="B115" s="24"/>
      <c r="C115" s="35"/>
      <c r="D115" s="104"/>
      <c r="E115" s="35"/>
      <c r="F115" s="35"/>
      <c r="G115" s="35"/>
      <c r="H115" s="104"/>
      <c r="I115" s="104"/>
      <c r="J115" s="35"/>
      <c r="K115" s="104"/>
      <c r="L115" s="104"/>
      <c r="M115" s="104"/>
      <c r="N115" s="104"/>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row>
    <row r="116" spans="1:43" s="12" customFormat="1" ht="11.1" customHeight="1" x14ac:dyDescent="0.2">
      <c r="A116" s="114" t="s">
        <v>298</v>
      </c>
      <c r="B116" s="24"/>
      <c r="C116" s="35"/>
      <c r="D116" s="104"/>
      <c r="E116" s="35"/>
      <c r="F116" s="35"/>
      <c r="G116" s="35"/>
      <c r="H116" s="104"/>
      <c r="I116" s="104"/>
      <c r="J116" s="35"/>
      <c r="K116" s="104"/>
      <c r="L116" s="104"/>
      <c r="M116" s="104"/>
      <c r="N116" s="104"/>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row>
    <row r="117" spans="1:43" s="12" customFormat="1" ht="11.1" customHeight="1" x14ac:dyDescent="0.2">
      <c r="A117" s="114" t="s">
        <v>299</v>
      </c>
      <c r="B117" s="24"/>
      <c r="C117" s="35"/>
      <c r="D117" s="104"/>
      <c r="E117" s="35"/>
      <c r="F117" s="35"/>
      <c r="G117" s="35"/>
      <c r="H117" s="104"/>
      <c r="I117" s="104"/>
      <c r="J117" s="35"/>
      <c r="K117" s="104"/>
      <c r="L117" s="104"/>
      <c r="M117" s="104"/>
      <c r="N117" s="104"/>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row>
    <row r="118" spans="1:43" s="12" customFormat="1" x14ac:dyDescent="0.2">
      <c r="A118" s="84" t="s">
        <v>273</v>
      </c>
      <c r="B118" s="84"/>
      <c r="C118" s="35"/>
      <c r="D118" s="104"/>
      <c r="E118" s="35"/>
      <c r="F118" s="115" t="s">
        <v>357</v>
      </c>
      <c r="G118" s="115" t="s">
        <v>357</v>
      </c>
      <c r="H118" s="104"/>
      <c r="I118" s="104"/>
      <c r="J118" s="115" t="s">
        <v>357</v>
      </c>
      <c r="K118" s="104"/>
      <c r="L118" s="104"/>
      <c r="M118" s="104"/>
      <c r="N118" s="104"/>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row>
    <row r="119" spans="1:43" s="12" customFormat="1" x14ac:dyDescent="0.2">
      <c r="A119" s="84" t="s">
        <v>274</v>
      </c>
      <c r="B119" s="84"/>
      <c r="C119" s="35"/>
      <c r="D119" s="104"/>
      <c r="E119" s="35"/>
      <c r="F119" s="115" t="s">
        <v>357</v>
      </c>
      <c r="G119" s="115" t="s">
        <v>357</v>
      </c>
      <c r="H119" s="104"/>
      <c r="I119" s="104"/>
      <c r="J119" s="115" t="s">
        <v>357</v>
      </c>
      <c r="K119" s="104"/>
      <c r="L119" s="104"/>
      <c r="M119" s="104"/>
      <c r="N119" s="104"/>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row>
    <row r="120" spans="1:43" s="12" customFormat="1" x14ac:dyDescent="0.2">
      <c r="A120" s="84"/>
      <c r="B120" s="84"/>
      <c r="C120" s="35"/>
      <c r="D120" s="104"/>
      <c r="E120" s="35"/>
      <c r="F120" s="35"/>
      <c r="G120" s="35"/>
      <c r="H120" s="104"/>
      <c r="I120" s="104"/>
      <c r="J120" s="35"/>
      <c r="K120" s="104"/>
      <c r="L120" s="104"/>
      <c r="M120" s="104"/>
      <c r="N120" s="104"/>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row>
    <row r="121" spans="1:43" s="12" customFormat="1" x14ac:dyDescent="0.2">
      <c r="A121" s="84"/>
      <c r="B121" s="84"/>
      <c r="C121" s="35"/>
      <c r="D121" s="104"/>
      <c r="E121" s="35"/>
      <c r="F121" s="35"/>
      <c r="G121" s="35"/>
      <c r="H121" s="104"/>
      <c r="I121" s="104"/>
      <c r="J121" s="35"/>
      <c r="K121" s="104"/>
      <c r="L121" s="104"/>
      <c r="M121" s="104"/>
      <c r="N121" s="104"/>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row>
    <row r="122" spans="1:43" s="12" customFormat="1" x14ac:dyDescent="0.2">
      <c r="A122" s="84"/>
      <c r="B122" s="84"/>
      <c r="C122" s="35"/>
      <c r="D122" s="104"/>
      <c r="E122" s="35"/>
      <c r="F122" s="35"/>
      <c r="G122" s="35"/>
      <c r="H122" s="104"/>
      <c r="I122" s="104"/>
      <c r="J122" s="35"/>
      <c r="K122" s="104"/>
      <c r="L122" s="104"/>
      <c r="M122" s="104"/>
      <c r="N122" s="104"/>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row>
    <row r="123" spans="1:43" s="12" customFormat="1" x14ac:dyDescent="0.2">
      <c r="A123" s="84"/>
      <c r="B123" s="84"/>
      <c r="C123" s="35"/>
      <c r="D123" s="104"/>
      <c r="E123" s="35"/>
      <c r="F123" s="35"/>
      <c r="G123" s="35"/>
      <c r="H123" s="104"/>
      <c r="I123" s="104"/>
      <c r="J123" s="35"/>
      <c r="K123" s="104"/>
      <c r="L123" s="104"/>
      <c r="M123" s="104"/>
      <c r="N123" s="104"/>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row>
    <row r="124" spans="1:43" s="12" customFormat="1" x14ac:dyDescent="0.2">
      <c r="A124" s="84"/>
      <c r="B124" s="84"/>
      <c r="C124" s="35"/>
      <c r="D124" s="104"/>
      <c r="E124" s="35"/>
      <c r="F124" s="35"/>
      <c r="G124" s="35"/>
      <c r="H124" s="104"/>
      <c r="I124" s="104"/>
      <c r="J124" s="35"/>
      <c r="K124" s="104"/>
      <c r="L124" s="104"/>
      <c r="M124" s="104"/>
      <c r="N124" s="104"/>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row>
    <row r="125" spans="1:43" s="12" customFormat="1" x14ac:dyDescent="0.2">
      <c r="A125" s="84"/>
      <c r="B125" s="84"/>
      <c r="C125" s="35"/>
      <c r="D125" s="104"/>
      <c r="E125" s="35"/>
      <c r="F125" s="35"/>
      <c r="G125" s="35"/>
      <c r="H125" s="104"/>
      <c r="I125" s="104"/>
      <c r="J125" s="35"/>
      <c r="K125" s="104"/>
      <c r="L125" s="104"/>
      <c r="M125" s="104"/>
      <c r="N125" s="104"/>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row>
    <row r="126" spans="1:43" s="12" customFormat="1" x14ac:dyDescent="0.2">
      <c r="A126" s="84"/>
      <c r="B126" s="84"/>
      <c r="C126" s="35"/>
      <c r="D126" s="104"/>
      <c r="E126" s="35"/>
      <c r="F126" s="35"/>
      <c r="G126" s="35"/>
      <c r="H126" s="104"/>
      <c r="I126" s="104"/>
      <c r="J126" s="35"/>
      <c r="K126" s="104"/>
      <c r="L126" s="104"/>
      <c r="M126" s="104"/>
      <c r="N126" s="104"/>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row>
    <row r="127" spans="1:43" s="12" customFormat="1" x14ac:dyDescent="0.2">
      <c r="A127" s="84"/>
      <c r="B127" s="84"/>
      <c r="C127" s="35"/>
      <c r="D127" s="104"/>
      <c r="E127" s="35"/>
      <c r="F127" s="35"/>
      <c r="G127" s="35"/>
      <c r="H127" s="104"/>
      <c r="I127" s="104"/>
      <c r="J127" s="35"/>
      <c r="K127" s="104"/>
      <c r="L127" s="104"/>
      <c r="M127" s="104"/>
      <c r="N127" s="104"/>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row>
    <row r="128" spans="1:43" s="12" customFormat="1" x14ac:dyDescent="0.2">
      <c r="A128" s="84"/>
      <c r="B128" s="84"/>
      <c r="C128" s="35"/>
      <c r="D128" s="104"/>
      <c r="E128" s="35"/>
      <c r="F128" s="35"/>
      <c r="G128" s="35"/>
      <c r="H128" s="104"/>
      <c r="I128" s="104"/>
      <c r="J128" s="35"/>
      <c r="K128" s="104"/>
      <c r="L128" s="104"/>
      <c r="M128" s="104"/>
      <c r="N128" s="104"/>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row>
    <row r="129" spans="1:43" s="12" customFormat="1" x14ac:dyDescent="0.2">
      <c r="A129" s="84"/>
      <c r="B129" s="84"/>
      <c r="C129" s="35"/>
      <c r="D129" s="104"/>
      <c r="E129" s="35"/>
      <c r="F129" s="35"/>
      <c r="G129" s="35"/>
      <c r="H129" s="104"/>
      <c r="I129" s="104"/>
      <c r="J129" s="35"/>
      <c r="K129" s="104"/>
      <c r="L129" s="104"/>
      <c r="M129" s="104"/>
      <c r="N129" s="104"/>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row>
    <row r="130" spans="1:43" s="12" customFormat="1" x14ac:dyDescent="0.2">
      <c r="A130" s="84"/>
      <c r="B130" s="84"/>
      <c r="C130" s="35"/>
      <c r="D130" s="104"/>
      <c r="E130" s="35"/>
      <c r="F130" s="35"/>
      <c r="G130" s="35"/>
      <c r="H130" s="104"/>
      <c r="I130" s="104"/>
      <c r="J130" s="35"/>
      <c r="K130" s="104"/>
      <c r="L130" s="104"/>
      <c r="M130" s="104"/>
      <c r="N130" s="104"/>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row>
    <row r="131" spans="1:43" s="12" customFormat="1" x14ac:dyDescent="0.2">
      <c r="A131" s="84"/>
      <c r="B131" s="84"/>
      <c r="C131" s="35"/>
      <c r="D131" s="104"/>
      <c r="E131" s="35"/>
      <c r="F131" s="35"/>
      <c r="G131" s="35"/>
      <c r="H131" s="104"/>
      <c r="I131" s="104"/>
      <c r="J131" s="35"/>
      <c r="K131" s="104"/>
      <c r="L131" s="104"/>
      <c r="M131" s="104"/>
      <c r="N131" s="104"/>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row>
    <row r="132" spans="1:43" s="12" customFormat="1" x14ac:dyDescent="0.2">
      <c r="A132" s="84"/>
      <c r="B132" s="84"/>
      <c r="C132" s="35"/>
      <c r="D132" s="104"/>
      <c r="E132" s="35"/>
      <c r="F132" s="35"/>
      <c r="G132" s="35"/>
      <c r="H132" s="104"/>
      <c r="I132" s="104"/>
      <c r="J132" s="35"/>
      <c r="K132" s="104"/>
      <c r="L132" s="104"/>
      <c r="M132" s="104"/>
      <c r="N132" s="104"/>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row>
    <row r="133" spans="1:43" s="12" customFormat="1" x14ac:dyDescent="0.2">
      <c r="A133" s="84"/>
      <c r="B133" s="84"/>
      <c r="C133" s="35"/>
      <c r="D133" s="104"/>
      <c r="E133" s="35"/>
      <c r="F133" s="35"/>
      <c r="G133" s="35"/>
      <c r="H133" s="104"/>
      <c r="I133" s="104"/>
      <c r="J133" s="35"/>
      <c r="K133" s="104"/>
      <c r="L133" s="104"/>
      <c r="M133" s="104"/>
      <c r="N133" s="104"/>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row>
    <row r="134" spans="1:43" s="12" customFormat="1" x14ac:dyDescent="0.2">
      <c r="A134" s="84"/>
      <c r="B134" s="84"/>
      <c r="C134" s="35"/>
      <c r="D134" s="104"/>
      <c r="E134" s="35"/>
      <c r="F134" s="35"/>
      <c r="G134" s="35"/>
      <c r="H134" s="104"/>
      <c r="I134" s="104"/>
      <c r="J134" s="35"/>
      <c r="K134" s="104"/>
      <c r="L134" s="104"/>
      <c r="M134" s="104"/>
      <c r="N134" s="104"/>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row>
    <row r="135" spans="1:43" s="12" customFormat="1" x14ac:dyDescent="0.2">
      <c r="A135" s="84"/>
      <c r="B135" s="84"/>
      <c r="C135" s="35"/>
      <c r="D135" s="104"/>
      <c r="E135" s="35"/>
      <c r="F135" s="35"/>
      <c r="G135" s="35"/>
      <c r="H135" s="104"/>
      <c r="I135" s="104"/>
      <c r="J135" s="35"/>
      <c r="K135" s="104"/>
      <c r="L135" s="104"/>
      <c r="M135" s="104"/>
      <c r="N135" s="104"/>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row>
    <row r="136" spans="1:43" s="12" customFormat="1" x14ac:dyDescent="0.2">
      <c r="A136" s="84"/>
      <c r="B136" s="84"/>
      <c r="C136" s="35"/>
      <c r="D136" s="104"/>
      <c r="E136" s="35"/>
      <c r="F136" s="35"/>
      <c r="G136" s="35"/>
      <c r="H136" s="104"/>
      <c r="I136" s="104"/>
      <c r="J136" s="35"/>
      <c r="K136" s="104"/>
      <c r="L136" s="104"/>
      <c r="M136" s="104"/>
      <c r="N136" s="104"/>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row>
    <row r="137" spans="1:43" s="12" customFormat="1" x14ac:dyDescent="0.2">
      <c r="A137" s="84"/>
      <c r="B137" s="84"/>
      <c r="C137" s="35"/>
      <c r="D137" s="104"/>
      <c r="E137" s="35"/>
      <c r="F137" s="35"/>
      <c r="G137" s="35"/>
      <c r="H137" s="104"/>
      <c r="I137" s="104"/>
      <c r="J137" s="35"/>
      <c r="K137" s="104"/>
      <c r="L137" s="104"/>
      <c r="M137" s="104"/>
      <c r="N137" s="104"/>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row>
    <row r="138" spans="1:43" s="12" customFormat="1" x14ac:dyDescent="0.2">
      <c r="A138" s="84"/>
      <c r="B138" s="84"/>
      <c r="C138" s="35"/>
      <c r="D138" s="104"/>
      <c r="E138" s="35"/>
      <c r="F138" s="35"/>
      <c r="G138" s="35"/>
      <c r="H138" s="104"/>
      <c r="I138" s="104"/>
      <c r="J138" s="35"/>
      <c r="K138" s="104"/>
      <c r="L138" s="104"/>
      <c r="M138" s="104"/>
      <c r="N138" s="104"/>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row>
    <row r="139" spans="1:43" s="12" customFormat="1" x14ac:dyDescent="0.2">
      <c r="A139" s="84"/>
      <c r="B139" s="84"/>
      <c r="C139" s="35"/>
      <c r="D139" s="104"/>
      <c r="E139" s="35"/>
      <c r="F139" s="35"/>
      <c r="G139" s="35"/>
      <c r="H139" s="104"/>
      <c r="I139" s="104"/>
      <c r="J139" s="35"/>
      <c r="K139" s="104"/>
      <c r="L139" s="104"/>
      <c r="M139" s="104"/>
      <c r="N139" s="104"/>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row>
    <row r="140" spans="1:43" s="12" customFormat="1" x14ac:dyDescent="0.2">
      <c r="A140" s="84"/>
      <c r="B140" s="84"/>
      <c r="C140" s="35"/>
      <c r="D140" s="104"/>
      <c r="E140" s="35"/>
      <c r="F140" s="35"/>
      <c r="G140" s="35"/>
      <c r="H140" s="104"/>
      <c r="I140" s="104"/>
      <c r="J140" s="35"/>
      <c r="K140" s="104"/>
      <c r="L140" s="104"/>
      <c r="M140" s="104"/>
      <c r="N140" s="104"/>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row>
    <row r="141" spans="1:43" s="12" customFormat="1" x14ac:dyDescent="0.2">
      <c r="A141" s="84"/>
      <c r="B141" s="84"/>
      <c r="C141" s="35"/>
      <c r="D141" s="104"/>
      <c r="E141" s="35"/>
      <c r="F141" s="35"/>
      <c r="G141" s="35"/>
      <c r="H141" s="104"/>
      <c r="I141" s="104"/>
      <c r="J141" s="35"/>
      <c r="K141" s="104"/>
      <c r="L141" s="104"/>
      <c r="M141" s="104"/>
      <c r="N141" s="104"/>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row>
    <row r="142" spans="1:43" s="12" customFormat="1" x14ac:dyDescent="0.2">
      <c r="A142" s="84"/>
      <c r="B142" s="84"/>
      <c r="C142" s="35"/>
      <c r="D142" s="104"/>
      <c r="E142" s="35"/>
      <c r="F142" s="35"/>
      <c r="G142" s="35"/>
      <c r="H142" s="104"/>
      <c r="I142" s="104"/>
      <c r="J142" s="35"/>
      <c r="K142" s="104"/>
      <c r="L142" s="104"/>
      <c r="M142" s="104"/>
      <c r="N142" s="104"/>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row>
    <row r="143" spans="1:43" s="12" customFormat="1" x14ac:dyDescent="0.2">
      <c r="A143" s="84"/>
      <c r="B143" s="84"/>
      <c r="C143" s="35"/>
      <c r="D143" s="104"/>
      <c r="E143" s="35"/>
      <c r="F143" s="35"/>
      <c r="G143" s="35"/>
      <c r="H143" s="104"/>
      <c r="I143" s="104"/>
      <c r="J143" s="35"/>
      <c r="K143" s="104"/>
      <c r="L143" s="104"/>
      <c r="M143" s="104"/>
      <c r="N143" s="104"/>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row>
    <row r="144" spans="1:43" s="12" customFormat="1" x14ac:dyDescent="0.2">
      <c r="A144" s="84"/>
      <c r="B144" s="84"/>
      <c r="C144" s="35"/>
      <c r="D144" s="104"/>
      <c r="E144" s="35"/>
      <c r="F144" s="35"/>
      <c r="G144" s="35"/>
      <c r="H144" s="104"/>
      <c r="I144" s="104"/>
      <c r="J144" s="35"/>
      <c r="K144" s="104"/>
      <c r="L144" s="104"/>
      <c r="M144" s="104"/>
      <c r="N144" s="104"/>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row>
    <row r="145" spans="1:43" s="12" customFormat="1" x14ac:dyDescent="0.2">
      <c r="A145" s="84"/>
      <c r="B145" s="84"/>
      <c r="C145" s="35"/>
      <c r="D145" s="104"/>
      <c r="E145" s="35"/>
      <c r="F145" s="35"/>
      <c r="G145" s="35"/>
      <c r="H145" s="104"/>
      <c r="I145" s="104"/>
      <c r="J145" s="35"/>
      <c r="K145" s="104"/>
      <c r="L145" s="104"/>
      <c r="M145" s="104"/>
      <c r="N145" s="104"/>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row>
    <row r="146" spans="1:43" s="12" customFormat="1" x14ac:dyDescent="0.2">
      <c r="A146" s="109"/>
      <c r="B146" s="109"/>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row>
    <row r="147" spans="1:43" s="12" customFormat="1" ht="18" customHeight="1" x14ac:dyDescent="0.2"/>
    <row r="148" spans="1:43" s="12" customFormat="1" ht="21" hidden="1" customHeight="1" x14ac:dyDescent="0.2">
      <c r="A148" s="168" t="s">
        <v>82</v>
      </c>
      <c r="B148" s="169"/>
      <c r="C148" s="169"/>
      <c r="D148" s="169"/>
      <c r="E148" s="169"/>
      <c r="F148" s="169"/>
      <c r="G148" s="169"/>
      <c r="H148" s="169"/>
      <c r="I148" s="169"/>
      <c r="J148" s="169"/>
      <c r="K148" s="169"/>
      <c r="L148" s="169"/>
      <c r="M148" s="170"/>
    </row>
    <row r="149" spans="1:43" s="12" customFormat="1" ht="18" hidden="1" customHeight="1" x14ac:dyDescent="0.2">
      <c r="A149" s="13"/>
      <c r="B149" s="13"/>
      <c r="C149" s="13"/>
      <c r="D149" s="13"/>
      <c r="E149" s="13"/>
      <c r="F149" s="13"/>
      <c r="G149" s="13"/>
      <c r="H149" s="13"/>
      <c r="I149" s="13"/>
      <c r="J149" s="13"/>
      <c r="L149" s="13"/>
      <c r="M149" s="13"/>
    </row>
    <row r="150" spans="1:43" s="12" customFormat="1" ht="25.5" hidden="1" customHeight="1" x14ac:dyDescent="0.2">
      <c r="A150" s="13"/>
      <c r="B150" s="156" t="s">
        <v>83</v>
      </c>
      <c r="C150" s="156"/>
      <c r="D150" s="156"/>
      <c r="E150" s="156"/>
      <c r="F150" s="156"/>
      <c r="G150" s="156"/>
      <c r="H150" s="156"/>
      <c r="I150" s="156"/>
      <c r="J150" s="13"/>
      <c r="L150" s="13"/>
      <c r="M150" s="13"/>
      <c r="O150" s="174" t="s">
        <v>84</v>
      </c>
      <c r="P150" s="174"/>
    </row>
    <row r="151" spans="1:43" s="12" customFormat="1" ht="25.5" hidden="1" customHeight="1" x14ac:dyDescent="0.2">
      <c r="A151" s="76" t="s">
        <v>85</v>
      </c>
      <c r="B151" s="110" t="s">
        <v>233</v>
      </c>
      <c r="C151" s="56" t="s">
        <v>181</v>
      </c>
      <c r="D151" s="56" t="s">
        <v>182</v>
      </c>
      <c r="E151" s="56" t="s">
        <v>182</v>
      </c>
      <c r="F151" s="56" t="s">
        <v>202</v>
      </c>
      <c r="G151" s="56"/>
      <c r="H151" s="74" t="s">
        <v>86</v>
      </c>
      <c r="I151" s="74" t="s">
        <v>86</v>
      </c>
      <c r="J151" s="56" t="s">
        <v>70</v>
      </c>
      <c r="K151" s="56" t="s">
        <v>87</v>
      </c>
      <c r="L151" s="56" t="s">
        <v>88</v>
      </c>
      <c r="M151" s="56" t="s">
        <v>89</v>
      </c>
      <c r="O151" s="61" t="s">
        <v>90</v>
      </c>
      <c r="P151" s="61" t="s">
        <v>91</v>
      </c>
    </row>
    <row r="152" spans="1:43" s="12" customFormat="1" ht="25.5" hidden="1" customHeight="1" x14ac:dyDescent="0.2">
      <c r="A152" s="57" t="s">
        <v>92</v>
      </c>
      <c r="B152" s="58"/>
      <c r="C152" s="58"/>
      <c r="D152" s="58"/>
      <c r="E152" s="58"/>
      <c r="F152" s="58"/>
      <c r="G152" s="58"/>
      <c r="H152" s="58"/>
      <c r="I152" s="58"/>
      <c r="J152" s="28"/>
      <c r="K152" s="28"/>
      <c r="L152" s="58"/>
      <c r="M152" s="58"/>
      <c r="O152" s="62" t="str">
        <f>IF(COUNT(B152:I152)='ISM Klassifizierung'!$J$14,IF(SUMPRODUCT((B152:I152&gt;=3)*(B152:I152&lt;&gt;0)*1)&gt;0,'ISM Klassifizierung'!$J$14-SUMPRODUCT((B152:I152&gt;=3)*(B152:I152&lt;&gt;0)*1),"Nein"),"Nein")</f>
        <v>Nein</v>
      </c>
      <c r="P152" s="62" t="str">
        <f>IF(M152="","",VLOOKUP(M152,'ISM Klassifizierung'!$K$4:$L$11,2,FALSE))</f>
        <v/>
      </c>
    </row>
    <row r="153" spans="1:43" s="12" customFormat="1" ht="25.5" hidden="1" customHeight="1" x14ac:dyDescent="0.2">
      <c r="A153" s="57" t="s">
        <v>93</v>
      </c>
      <c r="B153" s="58"/>
      <c r="C153" s="58"/>
      <c r="D153" s="58"/>
      <c r="E153" s="58"/>
      <c r="F153" s="58"/>
      <c r="G153" s="58"/>
      <c r="H153" s="58"/>
      <c r="I153" s="58"/>
      <c r="J153" s="28"/>
      <c r="K153" s="28"/>
      <c r="L153" s="58"/>
      <c r="M153" s="58"/>
      <c r="O153" s="62" t="str">
        <f>IF(COUNT(B153:I153)='ISM Klassifizierung'!$J$14,IF(SUMPRODUCT((B153:I153&gt;=3)*(B153:I153&lt;&gt;0)*1)&gt;0,'ISM Klassifizierung'!$J$14-SUMPRODUCT((B153:I153&gt;=3)*(B153:I153&lt;&gt;0)*1),"Nein"),"Nein")</f>
        <v>Nein</v>
      </c>
      <c r="P153" s="62" t="str">
        <f>IF(M153="","",VLOOKUP(M153,'ISM Klassifizierung'!$K$4:$L$11,2,FALSE))</f>
        <v/>
      </c>
    </row>
    <row r="154" spans="1:43" s="12" customFormat="1" ht="25.5" hidden="1" customHeight="1" x14ac:dyDescent="0.2">
      <c r="A154" s="59" t="s">
        <v>94</v>
      </c>
      <c r="B154" s="58"/>
      <c r="C154" s="58"/>
      <c r="D154" s="58"/>
      <c r="E154" s="58"/>
      <c r="F154" s="58"/>
      <c r="G154" s="58"/>
      <c r="H154" s="58"/>
      <c r="I154" s="58"/>
      <c r="J154" s="28"/>
      <c r="K154" s="28"/>
      <c r="L154" s="58"/>
      <c r="M154" s="58"/>
      <c r="O154" s="62" t="str">
        <f>IF(COUNT(B154:I154)='ISM Klassifizierung'!$J$14,IF(SUMPRODUCT((B154:I154&gt;=3)*(B154:I154&lt;&gt;0)*1)&gt;0,'ISM Klassifizierung'!$J$14-SUMPRODUCT((B154:I154&gt;=3)*(B154:I154&lt;&gt;0)*1),"Nein"),"Nein")</f>
        <v>Nein</v>
      </c>
      <c r="P154" s="62" t="str">
        <f>IF(M154="","",VLOOKUP(M154,'ISM Klassifizierung'!$K$4:$L$11,2,FALSE))</f>
        <v/>
      </c>
    </row>
    <row r="155" spans="1:43" s="12" customFormat="1" ht="25.5" hidden="1" customHeight="1" x14ac:dyDescent="0.2">
      <c r="A155" s="59" t="s">
        <v>95</v>
      </c>
      <c r="B155" s="58"/>
      <c r="C155" s="58"/>
      <c r="D155" s="58"/>
      <c r="E155" s="58"/>
      <c r="F155" s="58"/>
      <c r="G155" s="58"/>
      <c r="H155" s="58"/>
      <c r="I155" s="58"/>
      <c r="J155" s="28"/>
      <c r="K155" s="28"/>
      <c r="L155" s="58"/>
      <c r="M155" s="58"/>
      <c r="O155" s="62" t="str">
        <f>IF(COUNT(B155:I155)='ISM Klassifizierung'!$J$14,IF(SUMPRODUCT((B155:I155&gt;=3)*(B155:I155&lt;&gt;0)*1)&gt;0,'ISM Klassifizierung'!$J$14-SUMPRODUCT((B155:I155&gt;=3)*(B155:I155&lt;&gt;0)*1),"Nein"),"Nein")</f>
        <v>Nein</v>
      </c>
      <c r="P155" s="62" t="str">
        <f>IF(M155="","",VLOOKUP(M155,'ISM Klassifizierung'!$K$4:$L$11,2,FALSE))</f>
        <v/>
      </c>
    </row>
    <row r="156" spans="1:43" s="12" customFormat="1" ht="25.5" hidden="1" customHeight="1" x14ac:dyDescent="0.2">
      <c r="A156" s="13"/>
      <c r="B156" s="13"/>
      <c r="C156" s="13"/>
      <c r="D156" s="13"/>
      <c r="E156" s="13"/>
      <c r="F156" s="13"/>
      <c r="G156" s="13"/>
      <c r="H156" s="13"/>
      <c r="I156" s="13"/>
      <c r="J156" s="13"/>
      <c r="L156" s="13"/>
      <c r="M156" s="13"/>
      <c r="O156" s="63" t="str">
        <f>IF(AND(O152="Nein",O153="Nein",O154="Nein",O155="Nein"),"",MIN(O152:P155))</f>
        <v/>
      </c>
      <c r="P156" s="64"/>
    </row>
    <row r="157" spans="1:43" s="12" customFormat="1" ht="25.5" hidden="1" customHeight="1" x14ac:dyDescent="0.2">
      <c r="A157" s="13"/>
      <c r="B157" s="13"/>
      <c r="C157" s="13"/>
      <c r="D157" s="13"/>
      <c r="E157" s="13"/>
      <c r="F157" s="13"/>
      <c r="G157" s="13"/>
      <c r="H157" s="13"/>
      <c r="I157" s="13"/>
      <c r="J157" s="13"/>
      <c r="K157" s="60" t="s">
        <v>96</v>
      </c>
      <c r="L157" s="56"/>
      <c r="M157" s="13"/>
    </row>
    <row r="158" spans="1:43" s="12" customFormat="1" hidden="1" x14ac:dyDescent="0.2"/>
    <row r="159" spans="1:43" s="12" customFormat="1" hidden="1" x14ac:dyDescent="0.2"/>
    <row r="160" spans="1:43" s="12" customFormat="1" hidden="1" x14ac:dyDescent="0.2"/>
    <row r="161" s="12" customFormat="1" hidden="1" x14ac:dyDescent="0.2"/>
    <row r="162" s="12" customFormat="1" hidden="1" x14ac:dyDescent="0.2"/>
    <row r="163" s="12" customFormat="1" hidden="1" x14ac:dyDescent="0.2"/>
    <row r="164" s="12" customFormat="1" hidden="1" x14ac:dyDescent="0.2"/>
    <row r="165" s="12" customFormat="1" hidden="1" x14ac:dyDescent="0.2"/>
    <row r="166" s="12" customFormat="1" hidden="1" x14ac:dyDescent="0.2"/>
    <row r="167" s="12" customFormat="1" hidden="1" x14ac:dyDescent="0.2"/>
    <row r="168" s="12" customFormat="1" hidden="1" x14ac:dyDescent="0.2"/>
    <row r="169" s="12" customFormat="1" hidden="1" x14ac:dyDescent="0.2"/>
    <row r="170" s="12" customFormat="1" hidden="1" x14ac:dyDescent="0.2"/>
    <row r="171" s="12" customFormat="1" hidden="1" x14ac:dyDescent="0.2"/>
    <row r="172" s="12" customFormat="1" hidden="1" x14ac:dyDescent="0.2"/>
    <row r="173" s="12" customFormat="1" hidden="1" x14ac:dyDescent="0.2"/>
    <row r="174" s="12" customFormat="1" hidden="1" x14ac:dyDescent="0.2"/>
    <row r="175" s="12" customFormat="1" hidden="1" x14ac:dyDescent="0.2"/>
    <row r="176" s="12" customFormat="1" hidden="1" x14ac:dyDescent="0.2"/>
    <row r="177" s="12" customFormat="1" hidden="1" x14ac:dyDescent="0.2"/>
    <row r="178" s="12" customFormat="1" hidden="1" x14ac:dyDescent="0.2"/>
    <row r="179" s="12" customFormat="1" hidden="1" x14ac:dyDescent="0.2"/>
    <row r="180" s="12" customFormat="1" hidden="1" x14ac:dyDescent="0.2"/>
    <row r="181" s="12" customFormat="1" hidden="1" x14ac:dyDescent="0.2"/>
    <row r="182" s="12" customFormat="1" hidden="1" x14ac:dyDescent="0.2"/>
    <row r="183" s="12" customFormat="1" hidden="1" x14ac:dyDescent="0.2"/>
    <row r="184" s="12" customFormat="1" hidden="1" x14ac:dyDescent="0.2"/>
    <row r="185" s="12" customFormat="1" hidden="1" x14ac:dyDescent="0.2"/>
    <row r="186" s="12" customFormat="1" hidden="1" x14ac:dyDescent="0.2"/>
    <row r="187" s="12" customFormat="1" hidden="1" x14ac:dyDescent="0.2"/>
    <row r="188" s="12" customFormat="1" hidden="1" x14ac:dyDescent="0.2"/>
    <row r="189" s="12" customFormat="1" hidden="1" x14ac:dyDescent="0.2"/>
    <row r="190" s="12" customFormat="1" hidden="1" x14ac:dyDescent="0.2"/>
    <row r="191" s="12" customFormat="1" hidden="1" x14ac:dyDescent="0.2"/>
    <row r="192" s="12" customFormat="1" hidden="1" x14ac:dyDescent="0.2"/>
    <row r="193" s="12" customFormat="1" hidden="1" x14ac:dyDescent="0.2"/>
    <row r="194" s="12" customFormat="1" hidden="1" x14ac:dyDescent="0.2"/>
    <row r="195" s="12" customFormat="1" hidden="1" x14ac:dyDescent="0.2"/>
    <row r="196" s="12" customFormat="1" hidden="1" x14ac:dyDescent="0.2"/>
    <row r="197" s="12" customFormat="1" hidden="1" x14ac:dyDescent="0.2"/>
    <row r="198" s="12" customFormat="1" hidden="1" x14ac:dyDescent="0.2"/>
    <row r="199" s="12" customFormat="1" hidden="1" x14ac:dyDescent="0.2"/>
    <row r="200" s="12" customFormat="1" hidden="1" x14ac:dyDescent="0.2"/>
    <row r="201" s="12" customFormat="1" hidden="1" x14ac:dyDescent="0.2"/>
    <row r="202" s="12" customFormat="1" hidden="1" x14ac:dyDescent="0.2"/>
    <row r="203" s="12" customFormat="1" hidden="1" x14ac:dyDescent="0.2"/>
    <row r="204" s="12" customFormat="1" hidden="1" x14ac:dyDescent="0.2"/>
    <row r="205" s="12" customFormat="1" hidden="1" x14ac:dyDescent="0.2"/>
    <row r="206" s="12" customFormat="1" hidden="1" x14ac:dyDescent="0.2"/>
    <row r="207" s="12" customFormat="1" hidden="1" x14ac:dyDescent="0.2"/>
    <row r="208" s="12" customFormat="1" hidden="1" x14ac:dyDescent="0.2"/>
    <row r="209" s="12" customFormat="1" hidden="1" x14ac:dyDescent="0.2"/>
    <row r="210" s="12" customFormat="1" hidden="1" x14ac:dyDescent="0.2"/>
    <row r="211" s="12" customFormat="1" hidden="1" x14ac:dyDescent="0.2"/>
    <row r="212" s="12" customFormat="1" hidden="1" x14ac:dyDescent="0.2"/>
    <row r="213" s="12" customFormat="1" hidden="1" x14ac:dyDescent="0.2"/>
    <row r="214" s="12" customFormat="1" hidden="1" x14ac:dyDescent="0.2"/>
    <row r="215" s="12" customFormat="1" hidden="1" x14ac:dyDescent="0.2"/>
    <row r="216" s="12" customFormat="1" hidden="1" x14ac:dyDescent="0.2"/>
    <row r="217" s="12" customFormat="1" hidden="1" x14ac:dyDescent="0.2"/>
    <row r="218" s="12" customFormat="1" hidden="1" x14ac:dyDescent="0.2"/>
    <row r="219" s="12" customFormat="1" hidden="1" x14ac:dyDescent="0.2"/>
    <row r="220" s="12" customFormat="1" hidden="1" x14ac:dyDescent="0.2"/>
    <row r="221" s="12" customFormat="1" hidden="1" x14ac:dyDescent="0.2"/>
    <row r="222" s="12" customFormat="1" hidden="1" x14ac:dyDescent="0.2"/>
    <row r="223" s="12" customFormat="1" hidden="1" x14ac:dyDescent="0.2"/>
    <row r="224" s="12" customFormat="1" hidden="1" x14ac:dyDescent="0.2"/>
    <row r="225" s="12" customFormat="1" hidden="1" x14ac:dyDescent="0.2"/>
  </sheetData>
  <mergeCells count="86">
    <mergeCell ref="A148:M148"/>
    <mergeCell ref="B150:I150"/>
    <mergeCell ref="O150:P150"/>
    <mergeCell ref="E103:F103"/>
    <mergeCell ref="A105:B105"/>
    <mergeCell ref="A106:B106"/>
    <mergeCell ref="A108:B108"/>
    <mergeCell ref="A109:B109"/>
    <mergeCell ref="E102:F102"/>
    <mergeCell ref="E91:F91"/>
    <mergeCell ref="E92:F92"/>
    <mergeCell ref="E93:F93"/>
    <mergeCell ref="E94:F94"/>
    <mergeCell ref="E95:F95"/>
    <mergeCell ref="E96:F96"/>
    <mergeCell ref="E97:F97"/>
    <mergeCell ref="E98:F98"/>
    <mergeCell ref="E99:F99"/>
    <mergeCell ref="E100:F100"/>
    <mergeCell ref="E101:F101"/>
    <mergeCell ref="E90:F90"/>
    <mergeCell ref="E79:F79"/>
    <mergeCell ref="E80:F80"/>
    <mergeCell ref="E81:F81"/>
    <mergeCell ref="E82:F82"/>
    <mergeCell ref="E83:F83"/>
    <mergeCell ref="E84:F84"/>
    <mergeCell ref="E85:F85"/>
    <mergeCell ref="E86:F86"/>
    <mergeCell ref="E87:F87"/>
    <mergeCell ref="E88:F88"/>
    <mergeCell ref="E89:F89"/>
    <mergeCell ref="E78:F78"/>
    <mergeCell ref="C71:E71"/>
    <mergeCell ref="G71:J71"/>
    <mergeCell ref="C72:E72"/>
    <mergeCell ref="G72:J72"/>
    <mergeCell ref="C73:E73"/>
    <mergeCell ref="G73:J73"/>
    <mergeCell ref="C74:E74"/>
    <mergeCell ref="G74:J74"/>
    <mergeCell ref="C75:E75"/>
    <mergeCell ref="G75:J75"/>
    <mergeCell ref="E77:F77"/>
    <mergeCell ref="C68:E68"/>
    <mergeCell ref="G68:J68"/>
    <mergeCell ref="C69:E69"/>
    <mergeCell ref="G69:J69"/>
    <mergeCell ref="C70:E70"/>
    <mergeCell ref="G70:J70"/>
    <mergeCell ref="C65:E65"/>
    <mergeCell ref="G65:J65"/>
    <mergeCell ref="C66:E66"/>
    <mergeCell ref="G66:J66"/>
    <mergeCell ref="C67:E67"/>
    <mergeCell ref="G67:J67"/>
    <mergeCell ref="C62:E62"/>
    <mergeCell ref="G62:J62"/>
    <mergeCell ref="C63:E63"/>
    <mergeCell ref="G63:J63"/>
    <mergeCell ref="C64:E64"/>
    <mergeCell ref="G64:J64"/>
    <mergeCell ref="C59:E59"/>
    <mergeCell ref="G59:J59"/>
    <mergeCell ref="C60:E60"/>
    <mergeCell ref="G60:J60"/>
    <mergeCell ref="C61:E61"/>
    <mergeCell ref="G61:J61"/>
    <mergeCell ref="C56:E56"/>
    <mergeCell ref="G56:J56"/>
    <mergeCell ref="C57:E57"/>
    <mergeCell ref="G57:J57"/>
    <mergeCell ref="C58:E58"/>
    <mergeCell ref="G58:J58"/>
    <mergeCell ref="B6:F6"/>
    <mergeCell ref="A9:J9"/>
    <mergeCell ref="A53:R53"/>
    <mergeCell ref="K54:R54"/>
    <mergeCell ref="C55:E55"/>
    <mergeCell ref="G55:J55"/>
    <mergeCell ref="B5:F5"/>
    <mergeCell ref="B1:E1"/>
    <mergeCell ref="J1:K1"/>
    <mergeCell ref="B2:F2"/>
    <mergeCell ref="B3:F3"/>
    <mergeCell ref="B4:F4"/>
  </mergeCells>
  <conditionalFormatting sqref="J13:J39 J44:J51">
    <cfRule type="expression" dxfId="420" priority="126">
      <formula>$B13="nein"</formula>
    </cfRule>
  </conditionalFormatting>
  <conditionalFormatting sqref="J12 C12:I51">
    <cfRule type="expression" dxfId="419" priority="125">
      <formula>$B12="nein"</formula>
    </cfRule>
  </conditionalFormatting>
  <conditionalFormatting sqref="C16:D51 F16:F51">
    <cfRule type="expression" dxfId="418" priority="124">
      <formula>$B16="nein"</formula>
    </cfRule>
  </conditionalFormatting>
  <conditionalFormatting sqref="J40:J43">
    <cfRule type="expression" dxfId="417" priority="123">
      <formula>$B40="nein"</formula>
    </cfRule>
  </conditionalFormatting>
  <conditionalFormatting sqref="G12:I51">
    <cfRule type="expression" dxfId="416" priority="122">
      <formula>$B12="nein"</formula>
    </cfRule>
  </conditionalFormatting>
  <conditionalFormatting sqref="E12:E51">
    <cfRule type="expression" dxfId="415" priority="121">
      <formula>$B12="nein"</formula>
    </cfRule>
  </conditionalFormatting>
  <conditionalFormatting sqref="O105:O146">
    <cfRule type="expression" dxfId="414" priority="63">
      <formula>O$105=0</formula>
    </cfRule>
  </conditionalFormatting>
  <conditionalFormatting sqref="P105:P146">
    <cfRule type="expression" dxfId="413" priority="62">
      <formula>P$105=0</formula>
    </cfRule>
  </conditionalFormatting>
  <conditionalFormatting sqref="Q105:Q146">
    <cfRule type="expression" dxfId="412" priority="61">
      <formula>Q$105=0</formula>
    </cfRule>
  </conditionalFormatting>
  <conditionalFormatting sqref="R105:R146">
    <cfRule type="expression" dxfId="411" priority="60">
      <formula>R$105=0</formula>
    </cfRule>
  </conditionalFormatting>
  <conditionalFormatting sqref="S105:S146">
    <cfRule type="expression" dxfId="410" priority="59">
      <formula>S$105=0</formula>
    </cfRule>
  </conditionalFormatting>
  <conditionalFormatting sqref="T105:T146">
    <cfRule type="expression" dxfId="409" priority="58">
      <formula>T$105=0</formula>
    </cfRule>
  </conditionalFormatting>
  <conditionalFormatting sqref="U105:U146">
    <cfRule type="expression" dxfId="408" priority="57">
      <formula>U$105=0</formula>
    </cfRule>
  </conditionalFormatting>
  <conditionalFormatting sqref="V105:V146">
    <cfRule type="expression" dxfId="407" priority="56">
      <formula>V$105=0</formula>
    </cfRule>
  </conditionalFormatting>
  <conditionalFormatting sqref="W105:W146">
    <cfRule type="expression" dxfId="406" priority="55">
      <formula>W$105=0</formula>
    </cfRule>
  </conditionalFormatting>
  <conditionalFormatting sqref="X105:X146">
    <cfRule type="expression" dxfId="405" priority="54">
      <formula>X$105=0</formula>
    </cfRule>
  </conditionalFormatting>
  <conditionalFormatting sqref="Y105:Y146">
    <cfRule type="expression" dxfId="404" priority="53">
      <formula>Y$105=0</formula>
    </cfRule>
  </conditionalFormatting>
  <conditionalFormatting sqref="Z105:Z146">
    <cfRule type="expression" dxfId="403" priority="52">
      <formula>Z$105=0</formula>
    </cfRule>
  </conditionalFormatting>
  <conditionalFormatting sqref="AA105:AA146">
    <cfRule type="expression" dxfId="402" priority="51">
      <formula>AA$105=0</formula>
    </cfRule>
  </conditionalFormatting>
  <conditionalFormatting sqref="AB105:AB146">
    <cfRule type="expression" dxfId="401" priority="50">
      <formula>AB$105=0</formula>
    </cfRule>
  </conditionalFormatting>
  <conditionalFormatting sqref="AC105:AC146">
    <cfRule type="expression" dxfId="400" priority="49">
      <formula>AC$105=0</formula>
    </cfRule>
  </conditionalFormatting>
  <conditionalFormatting sqref="AD105:AD146">
    <cfRule type="expression" dxfId="399" priority="48">
      <formula>AD$105=0</formula>
    </cfRule>
  </conditionalFormatting>
  <conditionalFormatting sqref="F56:F75">
    <cfRule type="expression" dxfId="398" priority="25">
      <formula>$L$157="-"</formula>
    </cfRule>
    <cfRule type="expression" dxfId="397" priority="120">
      <formula>$B56="nein"</formula>
    </cfRule>
  </conditionalFormatting>
  <conditionalFormatting sqref="F56:F75">
    <cfRule type="expression" dxfId="396" priority="119">
      <formula>$B56="nein"</formula>
    </cfRule>
  </conditionalFormatting>
  <conditionalFormatting sqref="C78:C85">
    <cfRule type="expression" dxfId="395" priority="118">
      <formula>$B78="nein"</formula>
    </cfRule>
  </conditionalFormatting>
  <conditionalFormatting sqref="C78:C85">
    <cfRule type="expression" dxfId="394" priority="117">
      <formula>$B78="nein"</formula>
    </cfRule>
  </conditionalFormatting>
  <conditionalFormatting sqref="C86:C103">
    <cfRule type="expression" dxfId="393" priority="116">
      <formula>$B86="nein"</formula>
    </cfRule>
  </conditionalFormatting>
  <conditionalFormatting sqref="C86:C103">
    <cfRule type="expression" dxfId="392" priority="115">
      <formula>$B86="nein"</formula>
    </cfRule>
  </conditionalFormatting>
  <conditionalFormatting sqref="AE105:AE146">
    <cfRule type="expression" dxfId="391" priority="47">
      <formula>AE$105=0</formula>
    </cfRule>
  </conditionalFormatting>
  <conditionalFormatting sqref="AF105:AF146">
    <cfRule type="expression" dxfId="390" priority="46">
      <formula>AF$105=0</formula>
    </cfRule>
  </conditionalFormatting>
  <conditionalFormatting sqref="AG105:AG146">
    <cfRule type="expression" dxfId="389" priority="45">
      <formula>AG$105=0</formula>
    </cfRule>
  </conditionalFormatting>
  <conditionalFormatting sqref="AH105:AH146">
    <cfRule type="expression" dxfId="388" priority="44">
      <formula>AH$105=0</formula>
    </cfRule>
  </conditionalFormatting>
  <conditionalFormatting sqref="AI105:AI146">
    <cfRule type="expression" dxfId="387" priority="43">
      <formula>AI$105=0</formula>
    </cfRule>
  </conditionalFormatting>
  <conditionalFormatting sqref="AJ105:AJ146">
    <cfRule type="expression" dxfId="386" priority="42">
      <formula>AJ$105=0</formula>
    </cfRule>
  </conditionalFormatting>
  <conditionalFormatting sqref="AK105:AK146">
    <cfRule type="expression" dxfId="385" priority="41">
      <formula>AK$105=0</formula>
    </cfRule>
  </conditionalFormatting>
  <conditionalFormatting sqref="AL105:AL146">
    <cfRule type="expression" dxfId="384" priority="40">
      <formula>AL$105=0</formula>
    </cfRule>
  </conditionalFormatting>
  <conditionalFormatting sqref="AM105:AM146">
    <cfRule type="expression" dxfId="383" priority="39">
      <formula>AM$105=0</formula>
    </cfRule>
  </conditionalFormatting>
  <conditionalFormatting sqref="AN105:AN146">
    <cfRule type="expression" dxfId="382" priority="38">
      <formula>AN$105=0</formula>
    </cfRule>
  </conditionalFormatting>
  <conditionalFormatting sqref="AO105:AO146">
    <cfRule type="expression" dxfId="381" priority="37">
      <formula>AO$105=0</formula>
    </cfRule>
  </conditionalFormatting>
  <conditionalFormatting sqref="AP105:AP146">
    <cfRule type="expression" dxfId="380" priority="36">
      <formula>AP$105=0</formula>
    </cfRule>
  </conditionalFormatting>
  <conditionalFormatting sqref="AQ105:AQ146">
    <cfRule type="expression" dxfId="379" priority="35">
      <formula>AQ$105=0</formula>
    </cfRule>
  </conditionalFormatting>
  <conditionalFormatting sqref="O106:AQ146">
    <cfRule type="cellIs" dxfId="378" priority="34" operator="equal">
      <formula>"x"</formula>
    </cfRule>
  </conditionalFormatting>
  <conditionalFormatting sqref="O106:O146">
    <cfRule type="expression" dxfId="377" priority="86" stopIfTrue="1">
      <formula>AND($A$23&lt;&gt;"",$B$23&lt;&gt;"ja")</formula>
    </cfRule>
  </conditionalFormatting>
  <conditionalFormatting sqref="P106:P146">
    <cfRule type="expression" dxfId="376" priority="87" stopIfTrue="1">
      <formula>AND($A$24&lt;&gt;"",$B$24&lt;&gt;"ja")</formula>
    </cfRule>
  </conditionalFormatting>
  <conditionalFormatting sqref="Q106:Q146">
    <cfRule type="expression" dxfId="375" priority="88" stopIfTrue="1">
      <formula>AND($A$25&lt;&gt;"",$B$25&lt;&gt;"ja")</formula>
    </cfRule>
  </conditionalFormatting>
  <conditionalFormatting sqref="R106:R146">
    <cfRule type="expression" dxfId="374" priority="89" stopIfTrue="1">
      <formula>AND($A$26&lt;&gt;"",$B$26&lt;&gt;"ja")</formula>
    </cfRule>
  </conditionalFormatting>
  <conditionalFormatting sqref="S106:S146">
    <cfRule type="expression" dxfId="373" priority="90" stopIfTrue="1">
      <formula>AND($A$27&lt;&gt;"",$B$27&lt;&gt;"ja")</formula>
    </cfRule>
  </conditionalFormatting>
  <conditionalFormatting sqref="T106:T146">
    <cfRule type="expression" dxfId="372" priority="91" stopIfTrue="1">
      <formula>AND($A$28&lt;&gt;"",$B$28&lt;&gt;"ja")</formula>
    </cfRule>
  </conditionalFormatting>
  <conditionalFormatting sqref="U106:U146">
    <cfRule type="expression" dxfId="371" priority="92" stopIfTrue="1">
      <formula>AND($A$29&lt;&gt;"",$B$29&lt;&gt;"ja")</formula>
    </cfRule>
  </conditionalFormatting>
  <conditionalFormatting sqref="V106:V146">
    <cfRule type="expression" dxfId="370" priority="93" stopIfTrue="1">
      <formula>AND($A$30&lt;&gt;"",$B$30&lt;&gt;"ja")</formula>
    </cfRule>
  </conditionalFormatting>
  <conditionalFormatting sqref="W106:W146">
    <cfRule type="expression" dxfId="369" priority="94" stopIfTrue="1">
      <formula>AND($A$31&lt;&gt;"",$B$31&lt;&gt;"ja")</formula>
    </cfRule>
  </conditionalFormatting>
  <conditionalFormatting sqref="X106:X146">
    <cfRule type="expression" dxfId="368" priority="95" stopIfTrue="1">
      <formula>AND($A$32&lt;&gt;"",$B$32&lt;&gt;"ja")</formula>
    </cfRule>
  </conditionalFormatting>
  <conditionalFormatting sqref="Y106:Y146">
    <cfRule type="expression" dxfId="367" priority="96" stopIfTrue="1">
      <formula>AND($A$33&lt;&gt;"",$B$33&lt;&gt;"ja")</formula>
    </cfRule>
  </conditionalFormatting>
  <conditionalFormatting sqref="Z106:Z146">
    <cfRule type="expression" dxfId="366" priority="97" stopIfTrue="1">
      <formula>AND($A$34&lt;&gt;"",$B$34&lt;&gt;"ja")</formula>
    </cfRule>
  </conditionalFormatting>
  <conditionalFormatting sqref="AA106:AA146">
    <cfRule type="expression" dxfId="365" priority="98" stopIfTrue="1">
      <formula>AND($A$35&lt;&gt;"",$B$35&lt;&gt;"ja")</formula>
    </cfRule>
  </conditionalFormatting>
  <conditionalFormatting sqref="AB106:AB146">
    <cfRule type="expression" dxfId="364" priority="99" stopIfTrue="1">
      <formula>AND($A$36&lt;&gt;"",$B$36&lt;&gt;"ja")</formula>
    </cfRule>
  </conditionalFormatting>
  <conditionalFormatting sqref="AC106:AC146">
    <cfRule type="expression" dxfId="363" priority="100" stopIfTrue="1">
      <formula>AND($A$37&lt;&gt;"",$B$37&lt;&gt;"ja")</formula>
    </cfRule>
  </conditionalFormatting>
  <conditionalFormatting sqref="AD106:AD146">
    <cfRule type="expression" dxfId="362" priority="101" stopIfTrue="1">
      <formula>AND($A$38&lt;&gt;"",$B$38&lt;&gt;"ja")</formula>
    </cfRule>
  </conditionalFormatting>
  <conditionalFormatting sqref="AE106:AE146">
    <cfRule type="expression" dxfId="361" priority="102" stopIfTrue="1">
      <formula>AND($A$39&lt;&gt;"",$B$39&lt;&gt;"ja")</formula>
    </cfRule>
  </conditionalFormatting>
  <conditionalFormatting sqref="AF106:AF146">
    <cfRule type="expression" dxfId="360" priority="103" stopIfTrue="1">
      <formula>AND($A$40&lt;&gt;"",$B$40&lt;&gt;"ja")</formula>
    </cfRule>
  </conditionalFormatting>
  <conditionalFormatting sqref="AG106:AG146">
    <cfRule type="expression" dxfId="359" priority="104" stopIfTrue="1">
      <formula>AND($A$41&lt;&gt;"",$B$41&lt;&gt;"ja")</formula>
    </cfRule>
  </conditionalFormatting>
  <conditionalFormatting sqref="AH106:AH146">
    <cfRule type="expression" dxfId="358" priority="105" stopIfTrue="1">
      <formula>AND($A$42&lt;&gt;"",$B$42&lt;&gt;"ja")</formula>
    </cfRule>
  </conditionalFormatting>
  <conditionalFormatting sqref="AI106:AI146">
    <cfRule type="expression" dxfId="357" priority="106" stopIfTrue="1">
      <formula>AND($A$43&lt;&gt;"",$B$43&lt;&gt;"ja")</formula>
    </cfRule>
  </conditionalFormatting>
  <conditionalFormatting sqref="AJ106:AJ146">
    <cfRule type="expression" dxfId="356" priority="107" stopIfTrue="1">
      <formula>AND($A$44&lt;&gt;"",$B$44&lt;&gt;"ja")</formula>
    </cfRule>
  </conditionalFormatting>
  <conditionalFormatting sqref="AK106:AK146">
    <cfRule type="expression" dxfId="355" priority="108" stopIfTrue="1">
      <formula>AND($A$45&lt;&gt;"",$B$45&lt;&gt;"ja")</formula>
    </cfRule>
  </conditionalFormatting>
  <conditionalFormatting sqref="AL106:AL146">
    <cfRule type="expression" dxfId="354" priority="109" stopIfTrue="1">
      <formula>AND($A$46&lt;&gt;"",$B$46&lt;&gt;"ja")</formula>
    </cfRule>
  </conditionalFormatting>
  <conditionalFormatting sqref="AM106:AM146">
    <cfRule type="expression" dxfId="353" priority="110" stopIfTrue="1">
      <formula>AND($A$47&lt;&gt;"",$B$47&lt;&gt;"ja")</formula>
    </cfRule>
  </conditionalFormatting>
  <conditionalFormatting sqref="AN106:AN146">
    <cfRule type="expression" dxfId="352" priority="111" stopIfTrue="1">
      <formula>AND($A$48&lt;&gt;"",$B$48&lt;&gt;"ja")</formula>
    </cfRule>
  </conditionalFormatting>
  <conditionalFormatting sqref="AO106:AO146">
    <cfRule type="expression" dxfId="351" priority="112" stopIfTrue="1">
      <formula>AND($A$49&lt;&gt;"",$B$49&lt;&gt;"ja")</formula>
    </cfRule>
  </conditionalFormatting>
  <conditionalFormatting sqref="AP106:AP146">
    <cfRule type="expression" dxfId="350" priority="113" stopIfTrue="1">
      <formula>AND($A$50&lt;&gt;"",$B$50&lt;&gt;"ja")</formula>
    </cfRule>
  </conditionalFormatting>
  <conditionalFormatting sqref="AQ106:AQ146">
    <cfRule type="expression" dxfId="349" priority="114" stopIfTrue="1">
      <formula>AND($A$51&lt;&gt;"",$B$51&lt;&gt;"ja")</formula>
    </cfRule>
  </conditionalFormatting>
  <conditionalFormatting sqref="K56:K75">
    <cfRule type="expression" dxfId="348" priority="33">
      <formula>$F56&lt;&gt;"Ja"</formula>
    </cfRule>
  </conditionalFormatting>
  <conditionalFormatting sqref="L56:L75">
    <cfRule type="expression" dxfId="347" priority="32">
      <formula>$F56&lt;&gt;"Ja"</formula>
    </cfRule>
  </conditionalFormatting>
  <conditionalFormatting sqref="M56:M75">
    <cfRule type="expression" dxfId="346" priority="31">
      <formula>$F56&lt;&gt;"Ja"</formula>
    </cfRule>
  </conditionalFormatting>
  <conditionalFormatting sqref="N56:N75">
    <cfRule type="expression" dxfId="345" priority="30">
      <formula>$F56&lt;&gt;"Ja"</formula>
    </cfRule>
  </conditionalFormatting>
  <conditionalFormatting sqref="O56:O75">
    <cfRule type="expression" dxfId="344" priority="29">
      <formula>$F56&lt;&gt;"Ja"</formula>
    </cfRule>
  </conditionalFormatting>
  <conditionalFormatting sqref="P56:P75">
    <cfRule type="expression" dxfId="343" priority="28">
      <formula>$F56&lt;&gt;"Ja"</formula>
    </cfRule>
  </conditionalFormatting>
  <conditionalFormatting sqref="Q56:Q75">
    <cfRule type="expression" dxfId="342" priority="27">
      <formula>$F56&lt;&gt;"Ja"</formula>
    </cfRule>
  </conditionalFormatting>
  <conditionalFormatting sqref="R56:R75">
    <cfRule type="expression" dxfId="341" priority="26">
      <formula>$F56&lt;&gt;"Ja"</formula>
    </cfRule>
  </conditionalFormatting>
  <conditionalFormatting sqref="C78:C103">
    <cfRule type="expression" dxfId="340" priority="24">
      <formula>$L$157="-"</formula>
    </cfRule>
  </conditionalFormatting>
  <conditionalFormatting sqref="H78:H91">
    <cfRule type="expression" dxfId="339" priority="22">
      <formula>$B78="nein"</formula>
    </cfRule>
  </conditionalFormatting>
  <conditionalFormatting sqref="H78:H91">
    <cfRule type="expression" dxfId="338" priority="21">
      <formula>$B78="nein"</formula>
    </cfRule>
  </conditionalFormatting>
  <conditionalFormatting sqref="H86:H103">
    <cfRule type="expression" dxfId="337" priority="20">
      <formula>$B86="nein"</formula>
    </cfRule>
  </conditionalFormatting>
  <conditionalFormatting sqref="H86:H103">
    <cfRule type="expression" dxfId="336" priority="19">
      <formula>$B86="nein"</formula>
    </cfRule>
  </conditionalFormatting>
  <conditionalFormatting sqref="H78:H103">
    <cfRule type="expression" dxfId="335" priority="18">
      <formula>$L$157="-"</formula>
    </cfRule>
  </conditionalFormatting>
  <conditionalFormatting sqref="C12:D12 F12:F37">
    <cfRule type="expression" dxfId="334" priority="17">
      <formula>$B12="nein"</formula>
    </cfRule>
  </conditionalFormatting>
  <conditionalFormatting sqref="C13">
    <cfRule type="expression" dxfId="333" priority="16">
      <formula>$B13="nein"</formula>
    </cfRule>
  </conditionalFormatting>
  <conditionalFormatting sqref="C15:C37">
    <cfRule type="expression" dxfId="332" priority="15">
      <formula>$B15="nein"</formula>
    </cfRule>
  </conditionalFormatting>
  <conditionalFormatting sqref="D13:D37">
    <cfRule type="expression" dxfId="331" priority="14">
      <formula>$B13="nein"</formula>
    </cfRule>
  </conditionalFormatting>
  <conditionalFormatting sqref="F105">
    <cfRule type="expression" dxfId="330" priority="13">
      <formula>F$105=0</formula>
    </cfRule>
  </conditionalFormatting>
  <conditionalFormatting sqref="G105">
    <cfRule type="expression" dxfId="329" priority="12">
      <formula>G$105=0</formula>
    </cfRule>
  </conditionalFormatting>
  <conditionalFormatting sqref="E105">
    <cfRule type="expression" dxfId="328" priority="11">
      <formula>E$105=0</formula>
    </cfRule>
  </conditionalFormatting>
  <conditionalFormatting sqref="D105">
    <cfRule type="expression" dxfId="327" priority="10">
      <formula>D$105=0</formula>
    </cfRule>
  </conditionalFormatting>
  <conditionalFormatting sqref="H105">
    <cfRule type="expression" dxfId="326" priority="9">
      <formula>H$105=0</formula>
    </cfRule>
  </conditionalFormatting>
  <conditionalFormatting sqref="I105">
    <cfRule type="expression" dxfId="325" priority="8">
      <formula>I$105=0</formula>
    </cfRule>
  </conditionalFormatting>
  <conditionalFormatting sqref="J105">
    <cfRule type="expression" dxfId="324" priority="7">
      <formula>J$105=0</formula>
    </cfRule>
  </conditionalFormatting>
  <conditionalFormatting sqref="K105">
    <cfRule type="expression" dxfId="323" priority="6">
      <formula>K$105=0</formula>
    </cfRule>
  </conditionalFormatting>
  <conditionalFormatting sqref="L105">
    <cfRule type="expression" dxfId="322" priority="5">
      <formula>L$105=0</formula>
    </cfRule>
  </conditionalFormatting>
  <conditionalFormatting sqref="M105">
    <cfRule type="expression" dxfId="321" priority="4">
      <formula>M$105=0</formula>
    </cfRule>
  </conditionalFormatting>
  <conditionalFormatting sqref="N105">
    <cfRule type="expression" dxfId="320" priority="3">
      <formula>N$105=0</formula>
    </cfRule>
  </conditionalFormatting>
  <conditionalFormatting sqref="P106:P145">
    <cfRule type="expression" dxfId="319" priority="1">
      <formula>P$105=0</formula>
    </cfRule>
  </conditionalFormatting>
  <conditionalFormatting sqref="P106:P145">
    <cfRule type="expression" dxfId="318" priority="2" stopIfTrue="1">
      <formula>AND($A$23&lt;&gt;"",$B$23&lt;&gt;"ja")</formula>
    </cfRule>
  </conditionalFormatting>
  <dataValidations count="5">
    <dataValidation type="list" allowBlank="1" showInputMessage="1" showErrorMessage="1" sqref="B152:G155">
      <formula1>"1,2,3"</formula1>
    </dataValidation>
    <dataValidation type="list" allowBlank="1" showErrorMessage="1" sqref="G12:G51">
      <formula1>"nicht personenbezogen, personenbezogen, besonders personenbezogen"</formula1>
    </dataValidation>
    <dataValidation type="list" allowBlank="1" showInputMessage="1" showErrorMessage="1" sqref="G78:G103 B56:B75 B12:B51 B78:B103">
      <formula1>"ja, nein"</formula1>
    </dataValidation>
    <dataValidation type="list" allowBlank="1" showInputMessage="1" showErrorMessage="1" promptTitle="Mehrfachselektion möglich" prompt="Für Mehrfachselektion bitte nacheinander über Drop-Down Werte auswählen." sqref="D106:AQ146">
      <formula1>"x"</formula1>
    </dataValidation>
    <dataValidation type="list" allowBlank="1" showInputMessage="1" showErrorMessage="1" sqref="H152:I155">
      <formula1>"1,2,3,4"</formula1>
    </dataValidation>
  </dataValidations>
  <pageMargins left="0.7" right="0.7" top="0.78740157499999996" bottom="0.78740157499999996" header="0.3" footer="0.3"/>
  <pageSetup paperSize="9" scale="56" fitToHeight="0" orientation="landscape" r:id="rId1"/>
  <extLst>
    <ext xmlns:x14="http://schemas.microsoft.com/office/spreadsheetml/2009/9/main" uri="{CCE6A557-97BC-4b89-ADB6-D9C93CAAB3DF}">
      <x14:dataValidations xmlns:xm="http://schemas.microsoft.com/office/excel/2006/main" count="8">
        <x14:dataValidation type="list" allowBlank="1" showErrorMessage="1">
          <x14:formula1>
            <xm:f>'ISM Klassifizierung'!$B$10:$B$13</xm:f>
          </x14:formula1>
          <xm:sqref>C12:F51</xm:sqref>
        </x14:dataValidation>
        <x14:dataValidation type="list" allowBlank="1" showInputMessage="1" showErrorMessage="1">
          <x14:formula1>
            <xm:f>Allgemein!$L$43:$L$82</xm:f>
          </x14:formula1>
          <xm:sqref>G56:J75</xm:sqref>
        </x14:dataValidation>
        <x14:dataValidation type="list" allowBlank="1" showInputMessage="1" showErrorMessage="1">
          <x14:formula1>
            <xm:f>Allgemein!$I$43:$I$82</xm:f>
          </x14:formula1>
          <xm:sqref>C56:E75</xm:sqref>
        </x14:dataValidation>
        <x14:dataValidation type="list" allowBlank="1" showErrorMessage="1">
          <x14:formula1>
            <xm:f>'ISM Klassifizierung'!$I$4:$I$11</xm:f>
          </x14:formula1>
          <xm:sqref>H12:H51</xm:sqref>
        </x14:dataValidation>
        <x14:dataValidation type="list" allowBlank="1" showErrorMessage="1">
          <x14:formula1>
            <xm:f>'Ressourcen DB'!$G$2:$G$3</xm:f>
          </x14:formula1>
          <xm:sqref>C78:C103 F56:F75 I12:I51 H78:H103</xm:sqref>
        </x14:dataValidation>
        <x14:dataValidation type="list" allowBlank="1" showInputMessage="1" showErrorMessage="1">
          <x14:formula1>
            <xm:f>'ISM Klassifizierung'!$K$4:$K$11</xm:f>
          </x14:formula1>
          <xm:sqref>M152:M155</xm:sqref>
        </x14:dataValidation>
        <x14:dataValidation type="list" allowBlank="1" showInputMessage="1">
          <x14:formula1>
            <xm:f>'Ressourcen DB'!$G$2:$G$3</xm:f>
          </x14:formula1>
          <xm:sqref>C106:C146</xm:sqref>
        </x14:dataValidation>
        <x14:dataValidation type="list" allowBlank="1" showInputMessage="1">
          <x14:formula1>
            <xm:f>'Software Inventar'!$C$4:$C$128</xm:f>
          </x14:formula1>
          <xm:sqref>A106:B106 A108:B146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1">
    <tabColor rgb="FF148DEA"/>
    <pageSetUpPr fitToPage="1"/>
  </sheetPr>
  <dimension ref="A1:AQ225"/>
  <sheetViews>
    <sheetView showGridLines="0" zoomScale="120" zoomScaleNormal="120" workbookViewId="0">
      <pane xSplit="1" ySplit="11" topLeftCell="B107" activePane="bottomRight" state="frozen"/>
      <selection activeCell="F13" sqref="F13:H13"/>
      <selection pane="topRight" activeCell="F13" sqref="F13:H13"/>
      <selection pane="bottomLeft" activeCell="F13" sqref="F13:H13"/>
      <selection pane="bottomRight" activeCell="P115" sqref="P115:P118"/>
    </sheetView>
  </sheetViews>
  <sheetFormatPr baseColWidth="10" defaultColWidth="11.42578125" defaultRowHeight="12" zeroHeight="1" x14ac:dyDescent="0.2"/>
  <cols>
    <col min="1" max="1" width="36.28515625" style="13" bestFit="1" customWidth="1"/>
    <col min="2" max="4" width="13.28515625" style="13" customWidth="1"/>
    <col min="5" max="5" width="13.28515625" style="13" hidden="1" customWidth="1"/>
    <col min="6" max="6" width="13.28515625" style="13" customWidth="1"/>
    <col min="7" max="7" width="17.85546875" style="13" bestFit="1" customWidth="1"/>
    <col min="8" max="10" width="13.28515625" style="13" customWidth="1"/>
    <col min="11" max="11" width="13.28515625" style="12" customWidth="1"/>
    <col min="12" max="15" width="13.28515625" style="13" customWidth="1"/>
    <col min="16" max="16" width="13.140625" style="13" customWidth="1"/>
    <col min="17" max="44" width="20" style="13" customWidth="1"/>
    <col min="45" max="16384" width="11.42578125" style="13"/>
  </cols>
  <sheetData>
    <row r="1" spans="1:11" s="12" customFormat="1" ht="68.25" customHeight="1" x14ac:dyDescent="0.35">
      <c r="B1" s="157" t="s">
        <v>367</v>
      </c>
      <c r="C1" s="157"/>
      <c r="D1" s="157"/>
      <c r="E1" s="157"/>
      <c r="F1" s="68"/>
      <c r="G1" s="68"/>
      <c r="H1" s="68"/>
      <c r="I1" s="68"/>
      <c r="J1" s="158"/>
      <c r="K1" s="158"/>
    </row>
    <row r="2" spans="1:11" s="12" customFormat="1" x14ac:dyDescent="0.2">
      <c r="A2" s="106"/>
      <c r="B2" s="159"/>
      <c r="C2" s="159"/>
      <c r="D2" s="159"/>
      <c r="E2" s="159"/>
      <c r="F2" s="159"/>
      <c r="G2" s="14"/>
      <c r="H2" s="14"/>
      <c r="I2" s="14"/>
      <c r="J2" s="14"/>
    </row>
    <row r="3" spans="1:11" s="12" customFormat="1" x14ac:dyDescent="0.2">
      <c r="A3" s="105" t="s">
        <v>228</v>
      </c>
      <c r="B3" s="160" t="s">
        <v>340</v>
      </c>
      <c r="C3" s="161"/>
      <c r="D3" s="161"/>
      <c r="E3" s="161"/>
      <c r="F3" s="162"/>
      <c r="G3" s="14"/>
      <c r="H3" s="14"/>
      <c r="I3" s="14"/>
      <c r="J3" s="14"/>
    </row>
    <row r="4" spans="1:11" s="12" customFormat="1" x14ac:dyDescent="0.2">
      <c r="A4" s="32" t="s">
        <v>59</v>
      </c>
      <c r="B4" s="160"/>
      <c r="C4" s="161"/>
      <c r="D4" s="161"/>
      <c r="E4" s="161"/>
      <c r="F4" s="162"/>
      <c r="G4" s="14"/>
      <c r="H4" s="14"/>
      <c r="I4" s="14"/>
      <c r="J4" s="14"/>
    </row>
    <row r="5" spans="1:11" s="12" customFormat="1" x14ac:dyDescent="0.2">
      <c r="A5" s="32" t="s">
        <v>60</v>
      </c>
      <c r="B5" s="166"/>
      <c r="C5" s="166"/>
      <c r="D5" s="166"/>
      <c r="E5" s="166"/>
      <c r="F5" s="166"/>
      <c r="G5" s="14"/>
      <c r="H5" s="14"/>
      <c r="I5" s="14"/>
    </row>
    <row r="6" spans="1:11" s="12" customFormat="1" x14ac:dyDescent="0.2">
      <c r="A6" s="32" t="s">
        <v>61</v>
      </c>
      <c r="B6" s="167"/>
      <c r="C6" s="166"/>
      <c r="D6" s="166"/>
      <c r="E6" s="166"/>
      <c r="F6" s="166"/>
      <c r="G6" s="14"/>
      <c r="H6" s="14"/>
      <c r="I6" s="14"/>
    </row>
    <row r="7" spans="1:11" s="12" customFormat="1" x14ac:dyDescent="0.2"/>
    <row r="8" spans="1:11" s="12" customFormat="1" x14ac:dyDescent="0.2"/>
    <row r="9" spans="1:11" s="12" customFormat="1" ht="17.25" customHeight="1" x14ac:dyDescent="0.2">
      <c r="A9" s="168" t="s">
        <v>62</v>
      </c>
      <c r="B9" s="169"/>
      <c r="C9" s="169"/>
      <c r="D9" s="169"/>
      <c r="E9" s="169"/>
      <c r="F9" s="169"/>
      <c r="G9" s="169"/>
      <c r="H9" s="169"/>
      <c r="I9" s="169"/>
      <c r="J9" s="170"/>
    </row>
    <row r="10" spans="1:11" s="12" customFormat="1" ht="18" customHeight="1" x14ac:dyDescent="0.2"/>
    <row r="11" spans="1:11" s="12" customFormat="1" ht="30.75" customHeight="1" x14ac:dyDescent="0.2">
      <c r="A11" s="74" t="s">
        <v>54</v>
      </c>
      <c r="B11" s="82" t="s">
        <v>63</v>
      </c>
      <c r="C11" s="74" t="s">
        <v>64</v>
      </c>
      <c r="D11" s="74" t="s">
        <v>65</v>
      </c>
      <c r="E11" s="103" t="s">
        <v>227</v>
      </c>
      <c r="F11" s="74" t="s">
        <v>67</v>
      </c>
      <c r="G11" s="74" t="s">
        <v>68</v>
      </c>
      <c r="H11" s="74"/>
      <c r="I11" s="74"/>
      <c r="J11" s="74" t="s">
        <v>70</v>
      </c>
    </row>
    <row r="12" spans="1:11" s="12" customFormat="1" ht="24" x14ac:dyDescent="0.2">
      <c r="A12" s="15" t="str">
        <f>IF(Allgemein!C43=0,"",Allgemein!C43)</f>
        <v>Arbeitsergebnisse</v>
      </c>
      <c r="B12" s="28" t="s">
        <v>343</v>
      </c>
      <c r="C12" s="28" t="s">
        <v>263</v>
      </c>
      <c r="D12" s="28" t="s">
        <v>264</v>
      </c>
      <c r="E12" s="104"/>
      <c r="F12" s="28" t="s">
        <v>263</v>
      </c>
      <c r="G12" s="28" t="s">
        <v>356</v>
      </c>
      <c r="H12" s="28"/>
      <c r="I12" s="28"/>
      <c r="J12" s="83"/>
      <c r="K12" s="16"/>
    </row>
    <row r="13" spans="1:11" s="12" customFormat="1" ht="11.45" customHeight="1" x14ac:dyDescent="0.2">
      <c r="A13" s="15" t="str">
        <f>IF(Allgemein!C44=0,"",Allgemein!C44)</f>
        <v>Projektdokumentation</v>
      </c>
      <c r="B13" s="28" t="s">
        <v>343</v>
      </c>
      <c r="C13" s="28" t="s">
        <v>263</v>
      </c>
      <c r="D13" s="28" t="s">
        <v>264</v>
      </c>
      <c r="E13" s="104"/>
      <c r="F13" s="28" t="s">
        <v>264</v>
      </c>
      <c r="G13" s="28" t="s">
        <v>356</v>
      </c>
      <c r="H13" s="28"/>
      <c r="I13" s="28"/>
      <c r="J13" s="83"/>
      <c r="K13" s="16"/>
    </row>
    <row r="14" spans="1:11" s="12" customFormat="1" x14ac:dyDescent="0.2">
      <c r="A14" s="15" t="str">
        <f>IF(Allgemein!C45=0,"",Allgemein!C45)</f>
        <v>IT-System- und Dokumentenmanagement</v>
      </c>
      <c r="B14" s="28" t="s">
        <v>353</v>
      </c>
      <c r="C14" s="28"/>
      <c r="D14" s="28"/>
      <c r="E14" s="104"/>
      <c r="F14" s="28"/>
      <c r="G14" s="28"/>
      <c r="H14" s="28"/>
      <c r="I14" s="28"/>
      <c r="J14" s="83"/>
      <c r="K14" s="16"/>
    </row>
    <row r="15" spans="1:11" s="12" customFormat="1" ht="24" x14ac:dyDescent="0.2">
      <c r="A15" s="15" t="str">
        <f>IF(Allgemein!C46=0,"",Allgemein!C46)</f>
        <v>Altprojektdatenbank</v>
      </c>
      <c r="B15" s="28" t="s">
        <v>343</v>
      </c>
      <c r="C15" s="28" t="s">
        <v>262</v>
      </c>
      <c r="D15" s="28" t="s">
        <v>262</v>
      </c>
      <c r="E15" s="104"/>
      <c r="F15" s="28" t="s">
        <v>262</v>
      </c>
      <c r="G15" s="28" t="s">
        <v>356</v>
      </c>
      <c r="H15" s="28"/>
      <c r="I15" s="28"/>
      <c r="J15" s="83"/>
      <c r="K15" s="16"/>
    </row>
    <row r="16" spans="1:11" s="12" customFormat="1" ht="24" x14ac:dyDescent="0.2">
      <c r="A16" s="15" t="str">
        <f>IF(Allgemein!C47=0,"",Allgemein!C47)</f>
        <v>Projektfeinplanung (Arbeitspakete - Git Tickets)</v>
      </c>
      <c r="B16" s="28" t="s">
        <v>343</v>
      </c>
      <c r="C16" s="28" t="s">
        <v>262</v>
      </c>
      <c r="D16" s="28" t="s">
        <v>264</v>
      </c>
      <c r="E16" s="104"/>
      <c r="F16" s="28" t="s">
        <v>264</v>
      </c>
      <c r="G16" s="28" t="s">
        <v>356</v>
      </c>
      <c r="H16" s="28"/>
      <c r="I16" s="28"/>
      <c r="J16" s="28"/>
      <c r="K16" s="16"/>
    </row>
    <row r="17" spans="1:11" s="12" customFormat="1" x14ac:dyDescent="0.2">
      <c r="A17" s="15" t="str">
        <f>IF(Allgemein!C48=0,"",Allgemein!C48)</f>
        <v>Projektgrobplanung</v>
      </c>
      <c r="B17" s="28" t="s">
        <v>353</v>
      </c>
      <c r="C17" s="28"/>
      <c r="D17" s="28"/>
      <c r="E17" s="104"/>
      <c r="F17" s="28"/>
      <c r="G17" s="28"/>
      <c r="H17" s="28"/>
      <c r="I17" s="28"/>
      <c r="J17" s="28"/>
      <c r="K17" s="16"/>
    </row>
    <row r="18" spans="1:11" s="12" customFormat="1" x14ac:dyDescent="0.2">
      <c r="A18" s="15" t="str">
        <f>IF(Allgemein!C49=0,"",Allgemein!C49)</f>
        <v>Rechnungsmanagement</v>
      </c>
      <c r="B18" s="28" t="s">
        <v>353</v>
      </c>
      <c r="C18" s="28"/>
      <c r="D18" s="28"/>
      <c r="E18" s="104"/>
      <c r="F18" s="28"/>
      <c r="G18" s="28"/>
      <c r="H18" s="28"/>
      <c r="I18" s="28"/>
      <c r="J18" s="28"/>
      <c r="K18" s="16"/>
    </row>
    <row r="19" spans="1:11" s="12" customFormat="1" x14ac:dyDescent="0.2">
      <c r="A19" s="15" t="str">
        <f>IF(Allgemein!C50=0,"",Allgemein!C50)</f>
        <v>Projektbasierte Risikoanalyse</v>
      </c>
      <c r="B19" s="28" t="s">
        <v>353</v>
      </c>
      <c r="C19" s="28"/>
      <c r="D19" s="28"/>
      <c r="E19" s="104"/>
      <c r="F19" s="28"/>
      <c r="G19" s="28"/>
      <c r="H19" s="28"/>
      <c r="I19" s="28"/>
      <c r="J19" s="28"/>
      <c r="K19" s="16"/>
    </row>
    <row r="20" spans="1:11" s="12" customFormat="1" ht="24" x14ac:dyDescent="0.2">
      <c r="A20" s="15" t="str">
        <f>IF(Allgemein!C51=0,"",Allgemein!C51)</f>
        <v>Wiki Wissensdatenbank</v>
      </c>
      <c r="B20" s="28" t="s">
        <v>343</v>
      </c>
      <c r="C20" s="28" t="s">
        <v>262</v>
      </c>
      <c r="D20" s="28" t="s">
        <v>262</v>
      </c>
      <c r="E20" s="104"/>
      <c r="F20" s="28" t="s">
        <v>262</v>
      </c>
      <c r="G20" s="28" t="s">
        <v>356</v>
      </c>
      <c r="H20" s="28"/>
      <c r="I20" s="28"/>
      <c r="J20" s="28"/>
      <c r="K20" s="16"/>
    </row>
    <row r="21" spans="1:11" s="12" customFormat="1" x14ac:dyDescent="0.2">
      <c r="A21" s="15" t="str">
        <f>IF(Allgemein!C52=0,"",Allgemein!C52)</f>
        <v>Source Code</v>
      </c>
      <c r="B21" s="28" t="s">
        <v>353</v>
      </c>
      <c r="C21" s="28"/>
      <c r="D21" s="28"/>
      <c r="E21" s="104"/>
      <c r="F21" s="28"/>
      <c r="G21" s="28"/>
      <c r="H21" s="28"/>
      <c r="I21" s="28"/>
      <c r="J21" s="28"/>
      <c r="K21" s="16"/>
    </row>
    <row r="22" spans="1:11" s="12" customFormat="1" x14ac:dyDescent="0.2">
      <c r="A22" s="15" t="str">
        <f>IF(Allgemein!C53=0,"",Allgemein!C53)</f>
        <v>Missionsdaten</v>
      </c>
      <c r="B22" s="28" t="s">
        <v>343</v>
      </c>
      <c r="C22" s="28" t="s">
        <v>263</v>
      </c>
      <c r="D22" s="28" t="s">
        <v>264</v>
      </c>
      <c r="E22" s="104"/>
      <c r="F22" s="28" t="s">
        <v>263</v>
      </c>
      <c r="G22" s="28" t="s">
        <v>358</v>
      </c>
      <c r="H22" s="28"/>
      <c r="I22" s="28"/>
      <c r="J22" s="28"/>
      <c r="K22" s="16"/>
    </row>
    <row r="23" spans="1:11" s="12" customFormat="1" ht="24" x14ac:dyDescent="0.2">
      <c r="A23" s="15" t="str">
        <f>IF(Allgemein!C54=0,"",Allgemein!C54)</f>
        <v>Schlüsselmaterial Mission</v>
      </c>
      <c r="B23" s="28" t="s">
        <v>343</v>
      </c>
      <c r="C23" s="28" t="s">
        <v>264</v>
      </c>
      <c r="D23" s="28" t="s">
        <v>264</v>
      </c>
      <c r="E23" s="104"/>
      <c r="F23" s="28" t="s">
        <v>264</v>
      </c>
      <c r="G23" s="28" t="s">
        <v>356</v>
      </c>
      <c r="H23" s="28"/>
      <c r="I23" s="28"/>
      <c r="J23" s="28"/>
      <c r="K23" s="16"/>
    </row>
    <row r="24" spans="1:11" s="12" customFormat="1" x14ac:dyDescent="0.2">
      <c r="A24" s="15" t="str">
        <f>IF(Allgemein!C55=0,"",Allgemein!C55)</f>
        <v/>
      </c>
      <c r="B24" s="28"/>
      <c r="C24" s="28"/>
      <c r="D24" s="28"/>
      <c r="E24" s="104"/>
      <c r="F24" s="28"/>
      <c r="G24" s="28"/>
      <c r="H24" s="28"/>
      <c r="I24" s="28"/>
      <c r="J24" s="28"/>
      <c r="K24" s="16"/>
    </row>
    <row r="25" spans="1:11" s="12" customFormat="1" x14ac:dyDescent="0.2">
      <c r="A25" s="15" t="str">
        <f>IF(Allgemein!C56=0,"",Allgemein!C56)</f>
        <v/>
      </c>
      <c r="B25" s="28"/>
      <c r="C25" s="28"/>
      <c r="D25" s="28"/>
      <c r="E25" s="104"/>
      <c r="F25" s="28"/>
      <c r="G25" s="28"/>
      <c r="H25" s="28"/>
      <c r="I25" s="28"/>
      <c r="J25" s="28"/>
      <c r="K25" s="16"/>
    </row>
    <row r="26" spans="1:11" s="12" customFormat="1" x14ac:dyDescent="0.2">
      <c r="A26" s="15" t="str">
        <f>IF(Allgemein!C57=0,"",Allgemein!C57)</f>
        <v/>
      </c>
      <c r="B26" s="28"/>
      <c r="C26" s="28"/>
      <c r="D26" s="28"/>
      <c r="E26" s="104"/>
      <c r="F26" s="28"/>
      <c r="G26" s="28"/>
      <c r="H26" s="28"/>
      <c r="I26" s="28"/>
      <c r="J26" s="28"/>
      <c r="K26" s="16"/>
    </row>
    <row r="27" spans="1:11" s="12" customFormat="1" hidden="1" x14ac:dyDescent="0.2">
      <c r="A27" s="15" t="str">
        <f>IF(Allgemein!C58=0,"",Allgemein!C58)</f>
        <v/>
      </c>
      <c r="B27" s="28"/>
      <c r="C27" s="28"/>
      <c r="D27" s="28"/>
      <c r="E27" s="104"/>
      <c r="F27" s="28"/>
      <c r="G27" s="28"/>
      <c r="H27" s="28"/>
      <c r="I27" s="28"/>
      <c r="J27" s="28"/>
      <c r="K27" s="16"/>
    </row>
    <row r="28" spans="1:11" s="12" customFormat="1" hidden="1" x14ac:dyDescent="0.2">
      <c r="A28" s="15" t="str">
        <f>IF(Allgemein!C59=0,"",Allgemein!C59)</f>
        <v/>
      </c>
      <c r="B28" s="28"/>
      <c r="C28" s="28"/>
      <c r="D28" s="28"/>
      <c r="E28" s="104"/>
      <c r="F28" s="28"/>
      <c r="G28" s="28"/>
      <c r="H28" s="28"/>
      <c r="I28" s="28"/>
      <c r="J28" s="28"/>
      <c r="K28" s="16"/>
    </row>
    <row r="29" spans="1:11" s="12" customFormat="1" hidden="1" x14ac:dyDescent="0.2">
      <c r="A29" s="15" t="str">
        <f>IF(Allgemein!C60=0,"",Allgemein!C60)</f>
        <v/>
      </c>
      <c r="B29" s="28"/>
      <c r="C29" s="28"/>
      <c r="D29" s="28"/>
      <c r="E29" s="104"/>
      <c r="F29" s="28"/>
      <c r="G29" s="28"/>
      <c r="H29" s="28"/>
      <c r="I29" s="28"/>
      <c r="J29" s="28"/>
      <c r="K29" s="16"/>
    </row>
    <row r="30" spans="1:11" s="12" customFormat="1" hidden="1" x14ac:dyDescent="0.2">
      <c r="A30" s="15" t="str">
        <f>IF(Allgemein!C61=0,"",Allgemein!C61)</f>
        <v/>
      </c>
      <c r="B30" s="28"/>
      <c r="C30" s="28"/>
      <c r="D30" s="28"/>
      <c r="E30" s="104"/>
      <c r="F30" s="28"/>
      <c r="G30" s="28"/>
      <c r="H30" s="28"/>
      <c r="I30" s="28"/>
      <c r="J30" s="28"/>
      <c r="K30" s="16"/>
    </row>
    <row r="31" spans="1:11" s="12" customFormat="1" hidden="1" x14ac:dyDescent="0.2">
      <c r="A31" s="15" t="str">
        <f>IF(Allgemein!C62=0,"",Allgemein!C62)</f>
        <v/>
      </c>
      <c r="B31" s="28"/>
      <c r="C31" s="28"/>
      <c r="D31" s="28"/>
      <c r="E31" s="104"/>
      <c r="F31" s="28"/>
      <c r="G31" s="28"/>
      <c r="H31" s="28"/>
      <c r="I31" s="28"/>
      <c r="J31" s="28"/>
      <c r="K31" s="16"/>
    </row>
    <row r="32" spans="1:11" s="12" customFormat="1" hidden="1" x14ac:dyDescent="0.2">
      <c r="A32" s="15" t="str">
        <f>IF(Allgemein!C63=0,"",Allgemein!C63)</f>
        <v/>
      </c>
      <c r="B32" s="28"/>
      <c r="C32" s="28"/>
      <c r="D32" s="28"/>
      <c r="E32" s="104"/>
      <c r="F32" s="28"/>
      <c r="G32" s="28"/>
      <c r="H32" s="28"/>
      <c r="I32" s="28"/>
      <c r="J32" s="28"/>
      <c r="K32" s="16"/>
    </row>
    <row r="33" spans="1:11" s="12" customFormat="1" hidden="1" x14ac:dyDescent="0.2">
      <c r="A33" s="15" t="str">
        <f>IF(Allgemein!C64=0,"",Allgemein!C64)</f>
        <v/>
      </c>
      <c r="B33" s="28"/>
      <c r="C33" s="28"/>
      <c r="D33" s="28"/>
      <c r="E33" s="104"/>
      <c r="F33" s="28"/>
      <c r="G33" s="28"/>
      <c r="H33" s="28"/>
      <c r="I33" s="28"/>
      <c r="J33" s="28"/>
      <c r="K33" s="16"/>
    </row>
    <row r="34" spans="1:11" s="12" customFormat="1" hidden="1" x14ac:dyDescent="0.2">
      <c r="A34" s="15" t="str">
        <f>IF(Allgemein!C65=0,"",Allgemein!C65)</f>
        <v/>
      </c>
      <c r="B34" s="28"/>
      <c r="C34" s="28"/>
      <c r="D34" s="28"/>
      <c r="E34" s="104"/>
      <c r="F34" s="28"/>
      <c r="G34" s="28"/>
      <c r="H34" s="28"/>
      <c r="I34" s="28"/>
      <c r="J34" s="28"/>
      <c r="K34" s="16"/>
    </row>
    <row r="35" spans="1:11" s="12" customFormat="1" hidden="1" x14ac:dyDescent="0.2">
      <c r="A35" s="15" t="str">
        <f>IF(Allgemein!C66=0,"",Allgemein!C66)</f>
        <v/>
      </c>
      <c r="B35" s="28"/>
      <c r="C35" s="28"/>
      <c r="D35" s="28"/>
      <c r="E35" s="104"/>
      <c r="F35" s="28"/>
      <c r="G35" s="28"/>
      <c r="H35" s="28"/>
      <c r="I35" s="28"/>
      <c r="J35" s="28"/>
      <c r="K35" s="16"/>
    </row>
    <row r="36" spans="1:11" s="12" customFormat="1" ht="11.45" hidden="1" customHeight="1" x14ac:dyDescent="0.2">
      <c r="A36" s="15" t="str">
        <f>IF(Allgemein!C67=0,"",Allgemein!C67)</f>
        <v/>
      </c>
      <c r="B36" s="28"/>
      <c r="C36" s="28"/>
      <c r="D36" s="28"/>
      <c r="E36" s="104"/>
      <c r="F36" s="28"/>
      <c r="G36" s="28"/>
      <c r="H36" s="28"/>
      <c r="I36" s="28"/>
      <c r="J36" s="28"/>
      <c r="K36" s="16"/>
    </row>
    <row r="37" spans="1:11" s="12" customFormat="1" ht="11.45" hidden="1" customHeight="1" x14ac:dyDescent="0.2">
      <c r="A37" s="15" t="str">
        <f>IF(Allgemein!C68=0,"",Allgemein!C68)</f>
        <v/>
      </c>
      <c r="B37" s="28"/>
      <c r="C37" s="28"/>
      <c r="D37" s="28"/>
      <c r="E37" s="104"/>
      <c r="F37" s="28"/>
      <c r="G37" s="28"/>
      <c r="H37" s="28"/>
      <c r="I37" s="28"/>
      <c r="J37" s="28"/>
      <c r="K37" s="16"/>
    </row>
    <row r="38" spans="1:11" s="12" customFormat="1" hidden="1" x14ac:dyDescent="0.2">
      <c r="A38" s="15" t="str">
        <f>IF(Allgemein!C69=0,"",Allgemein!C69)</f>
        <v/>
      </c>
      <c r="B38" s="28"/>
      <c r="C38" s="28"/>
      <c r="D38" s="28"/>
      <c r="E38" s="104"/>
      <c r="F38" s="28"/>
      <c r="G38" s="28"/>
      <c r="H38" s="28"/>
      <c r="I38" s="28"/>
      <c r="J38" s="28"/>
    </row>
    <row r="39" spans="1:11" s="12" customFormat="1" hidden="1" x14ac:dyDescent="0.2">
      <c r="A39" s="15" t="str">
        <f>IF(Allgemein!C70=0,"",Allgemein!C70)</f>
        <v/>
      </c>
      <c r="B39" s="28"/>
      <c r="C39" s="28"/>
      <c r="D39" s="28"/>
      <c r="E39" s="104"/>
      <c r="F39" s="28"/>
      <c r="G39" s="28"/>
      <c r="H39" s="28"/>
      <c r="I39" s="28"/>
      <c r="J39" s="28"/>
    </row>
    <row r="40" spans="1:11" s="12" customFormat="1" hidden="1" x14ac:dyDescent="0.2">
      <c r="A40" s="15" t="str">
        <f>IF(Allgemein!C71=0,"",Allgemein!C71)</f>
        <v/>
      </c>
      <c r="B40" s="28"/>
      <c r="C40" s="28"/>
      <c r="D40" s="28"/>
      <c r="E40" s="104"/>
      <c r="F40" s="28"/>
      <c r="G40" s="28"/>
      <c r="H40" s="28"/>
      <c r="I40" s="28"/>
      <c r="J40" s="28"/>
    </row>
    <row r="41" spans="1:11" s="12" customFormat="1" ht="11.45" hidden="1" customHeight="1" x14ac:dyDescent="0.2">
      <c r="A41" s="15" t="str">
        <f>IF(Allgemein!C72=0,"",Allgemein!C72)</f>
        <v/>
      </c>
      <c r="B41" s="28"/>
      <c r="C41" s="28"/>
      <c r="D41" s="28"/>
      <c r="E41" s="104"/>
      <c r="F41" s="28"/>
      <c r="G41" s="28"/>
      <c r="H41" s="28"/>
      <c r="I41" s="28"/>
      <c r="J41" s="28"/>
    </row>
    <row r="42" spans="1:11" s="12" customFormat="1" ht="11.45" hidden="1" customHeight="1" x14ac:dyDescent="0.2">
      <c r="A42" s="15" t="str">
        <f>IF(Allgemein!C73=0,"",Allgemein!C73)</f>
        <v/>
      </c>
      <c r="B42" s="28"/>
      <c r="C42" s="28"/>
      <c r="D42" s="28"/>
      <c r="E42" s="104"/>
      <c r="F42" s="28"/>
      <c r="G42" s="28"/>
      <c r="H42" s="28"/>
      <c r="I42" s="28"/>
      <c r="J42" s="28"/>
    </row>
    <row r="43" spans="1:11" s="12" customFormat="1" ht="11.45" hidden="1" customHeight="1" x14ac:dyDescent="0.2">
      <c r="A43" s="15" t="str">
        <f>IF(Allgemein!C74=0,"",Allgemein!C74)</f>
        <v/>
      </c>
      <c r="B43" s="28"/>
      <c r="C43" s="28"/>
      <c r="D43" s="28"/>
      <c r="E43" s="104"/>
      <c r="F43" s="28"/>
      <c r="G43" s="28"/>
      <c r="H43" s="28"/>
      <c r="I43" s="28"/>
      <c r="J43" s="28"/>
    </row>
    <row r="44" spans="1:11" s="12" customFormat="1" ht="11.45" hidden="1" customHeight="1" x14ac:dyDescent="0.2">
      <c r="A44" s="15" t="str">
        <f>IF(Allgemein!C75=0,"",Allgemein!C75)</f>
        <v/>
      </c>
      <c r="B44" s="28"/>
      <c r="C44" s="28"/>
      <c r="D44" s="28"/>
      <c r="E44" s="104"/>
      <c r="F44" s="28"/>
      <c r="G44" s="28"/>
      <c r="H44" s="28"/>
      <c r="I44" s="28"/>
      <c r="J44" s="28"/>
    </row>
    <row r="45" spans="1:11" s="12" customFormat="1" ht="11.45" hidden="1" customHeight="1" x14ac:dyDescent="0.2">
      <c r="A45" s="15" t="str">
        <f>IF(Allgemein!C76=0,"",Allgemein!C76)</f>
        <v/>
      </c>
      <c r="B45" s="28"/>
      <c r="C45" s="28"/>
      <c r="D45" s="28"/>
      <c r="E45" s="104"/>
      <c r="F45" s="28"/>
      <c r="G45" s="28"/>
      <c r="H45" s="28"/>
      <c r="I45" s="28"/>
      <c r="J45" s="28"/>
    </row>
    <row r="46" spans="1:11" s="12" customFormat="1" ht="11.45" hidden="1" customHeight="1" x14ac:dyDescent="0.2">
      <c r="A46" s="15" t="str">
        <f>IF(Allgemein!C77=0,"",Allgemein!C77)</f>
        <v/>
      </c>
      <c r="B46" s="28"/>
      <c r="C46" s="28"/>
      <c r="D46" s="28"/>
      <c r="E46" s="104"/>
      <c r="F46" s="28"/>
      <c r="G46" s="28"/>
      <c r="H46" s="28"/>
      <c r="I46" s="28"/>
      <c r="J46" s="28"/>
    </row>
    <row r="47" spans="1:11" s="12" customFormat="1" ht="11.45" hidden="1" customHeight="1" x14ac:dyDescent="0.2">
      <c r="A47" s="15" t="str">
        <f>IF(Allgemein!C78=0,"",Allgemein!C78)</f>
        <v/>
      </c>
      <c r="B47" s="28"/>
      <c r="C47" s="28"/>
      <c r="D47" s="28"/>
      <c r="E47" s="104"/>
      <c r="F47" s="28"/>
      <c r="G47" s="28"/>
      <c r="H47" s="28"/>
      <c r="I47" s="28"/>
      <c r="J47" s="28"/>
    </row>
    <row r="48" spans="1:11" s="12" customFormat="1" ht="11.45" hidden="1" customHeight="1" x14ac:dyDescent="0.2">
      <c r="A48" s="15" t="str">
        <f>IF(Allgemein!C79=0,"",Allgemein!C79)</f>
        <v/>
      </c>
      <c r="B48" s="28"/>
      <c r="C48" s="28"/>
      <c r="D48" s="28"/>
      <c r="E48" s="104"/>
      <c r="F48" s="28"/>
      <c r="G48" s="28"/>
      <c r="H48" s="28"/>
      <c r="I48" s="28"/>
      <c r="J48" s="28"/>
    </row>
    <row r="49" spans="1:18" s="12" customFormat="1" ht="11.45" hidden="1" customHeight="1" x14ac:dyDescent="0.2">
      <c r="A49" s="15" t="str">
        <f>IF(Allgemein!C80=0,"",Allgemein!C80)</f>
        <v/>
      </c>
      <c r="B49" s="28"/>
      <c r="C49" s="28"/>
      <c r="D49" s="28"/>
      <c r="E49" s="104"/>
      <c r="F49" s="28"/>
      <c r="G49" s="28"/>
      <c r="H49" s="28"/>
      <c r="I49" s="28"/>
      <c r="J49" s="28"/>
    </row>
    <row r="50" spans="1:18" s="12" customFormat="1" ht="11.45" hidden="1" customHeight="1" x14ac:dyDescent="0.2">
      <c r="A50" s="15" t="str">
        <f>IF(Allgemein!C81=0,"",Allgemein!C81)</f>
        <v/>
      </c>
      <c r="B50" s="28"/>
      <c r="C50" s="28"/>
      <c r="D50" s="28"/>
      <c r="E50" s="104"/>
      <c r="F50" s="28"/>
      <c r="G50" s="28"/>
      <c r="H50" s="28"/>
      <c r="I50" s="28"/>
      <c r="J50" s="28"/>
    </row>
    <row r="51" spans="1:18" s="12" customFormat="1" ht="11.45" hidden="1" customHeight="1" x14ac:dyDescent="0.2">
      <c r="A51" s="15" t="str">
        <f>IF(Allgemein!C82=0,"",Allgemein!C82)</f>
        <v/>
      </c>
      <c r="B51" s="28"/>
      <c r="C51" s="28"/>
      <c r="D51" s="28"/>
      <c r="E51" s="104"/>
      <c r="F51" s="28"/>
      <c r="G51" s="28"/>
      <c r="H51" s="28"/>
      <c r="I51" s="28"/>
      <c r="J51" s="28"/>
    </row>
    <row r="52" spans="1:18" s="12" customFormat="1" x14ac:dyDescent="0.2"/>
    <row r="53" spans="1:18" s="12" customFormat="1" ht="18" customHeight="1" x14ac:dyDescent="0.2">
      <c r="A53" s="171" t="s">
        <v>76</v>
      </c>
      <c r="B53" s="171"/>
      <c r="C53" s="171"/>
      <c r="D53" s="171"/>
      <c r="E53" s="171"/>
      <c r="F53" s="171"/>
      <c r="G53" s="171"/>
      <c r="H53" s="171"/>
      <c r="I53" s="171"/>
      <c r="J53" s="171"/>
      <c r="K53" s="171"/>
      <c r="L53" s="171"/>
      <c r="M53" s="171"/>
      <c r="N53" s="171"/>
      <c r="O53" s="171"/>
      <c r="P53" s="171"/>
      <c r="Q53" s="171"/>
      <c r="R53" s="171"/>
    </row>
    <row r="54" spans="1:18" s="12" customFormat="1" ht="18" customHeight="1" x14ac:dyDescent="0.2">
      <c r="K54" s="172"/>
      <c r="L54" s="172"/>
      <c r="M54" s="172"/>
      <c r="N54" s="172"/>
      <c r="O54" s="172"/>
      <c r="P54" s="172"/>
      <c r="Q54" s="172"/>
      <c r="R54" s="172"/>
    </row>
    <row r="55" spans="1:18" s="12" customFormat="1" ht="24" hidden="1" x14ac:dyDescent="0.2">
      <c r="A55" s="74" t="s">
        <v>55</v>
      </c>
      <c r="B55" s="82" t="s">
        <v>63</v>
      </c>
      <c r="C55" s="153" t="s">
        <v>77</v>
      </c>
      <c r="D55" s="154"/>
      <c r="E55" s="155"/>
      <c r="F55" s="74"/>
      <c r="G55" s="153" t="s">
        <v>78</v>
      </c>
      <c r="H55" s="154"/>
      <c r="I55" s="154"/>
      <c r="J55" s="155"/>
      <c r="K55" s="74" t="str">
        <f>B151</f>
        <v>≤ 1 d</v>
      </c>
      <c r="L55" s="74" t="str">
        <f t="shared" ref="L55:R55" si="0">C151</f>
        <v>≤ 3 d</v>
      </c>
      <c r="M55" s="74" t="str">
        <f t="shared" si="0"/>
        <v>≤ 7 d</v>
      </c>
      <c r="N55" s="74" t="str">
        <f t="shared" si="0"/>
        <v>≤ 7 d</v>
      </c>
      <c r="O55" s="74" t="str">
        <f t="shared" si="0"/>
        <v>≤ 14 d</v>
      </c>
      <c r="P55" s="74">
        <f t="shared" si="0"/>
        <v>0</v>
      </c>
      <c r="Q55" s="74" t="str">
        <f t="shared" si="0"/>
        <v/>
      </c>
      <c r="R55" s="74" t="str">
        <f t="shared" si="0"/>
        <v/>
      </c>
    </row>
    <row r="56" spans="1:18" s="12" customFormat="1" hidden="1" x14ac:dyDescent="0.2">
      <c r="A56" s="15" t="str">
        <f>IF(Allgemein!F43=0,"",Allgemein!F43)</f>
        <v>Technische Universität Berlin</v>
      </c>
      <c r="B56" s="28"/>
      <c r="C56" s="163"/>
      <c r="D56" s="164"/>
      <c r="E56" s="165"/>
      <c r="F56" s="28"/>
      <c r="G56" s="163"/>
      <c r="H56" s="164"/>
      <c r="I56" s="164"/>
      <c r="J56" s="165"/>
      <c r="K56" s="77"/>
      <c r="L56" s="77"/>
      <c r="M56" s="77"/>
      <c r="N56" s="77"/>
      <c r="O56" s="77"/>
      <c r="P56" s="77"/>
      <c r="Q56" s="77"/>
      <c r="R56" s="77"/>
    </row>
    <row r="57" spans="1:18" s="12" customFormat="1" ht="12" hidden="1" customHeight="1" x14ac:dyDescent="0.2">
      <c r="A57" s="15" t="str">
        <f>IF(Allgemein!F44=0,"",Allgemein!F44)</f>
        <v>Deutsches Luft- und Raumfahrtzentrum</v>
      </c>
      <c r="B57" s="28"/>
      <c r="C57" s="163"/>
      <c r="D57" s="164"/>
      <c r="E57" s="165"/>
      <c r="F57" s="28"/>
      <c r="G57" s="163"/>
      <c r="H57" s="164"/>
      <c r="I57" s="164"/>
      <c r="J57" s="165"/>
      <c r="K57" s="77"/>
      <c r="L57" s="77"/>
      <c r="M57" s="77"/>
      <c r="N57" s="77"/>
      <c r="O57" s="77"/>
      <c r="P57" s="77"/>
      <c r="Q57" s="77"/>
      <c r="R57" s="77"/>
    </row>
    <row r="58" spans="1:18" s="12" customFormat="1" ht="24" hidden="1" x14ac:dyDescent="0.2">
      <c r="A58" s="15" t="str">
        <f>IF(Allgemein!F45=0,"",Allgemein!F45)</f>
        <v>Deutsches Zentrum für Satelliten-Kommunikation</v>
      </c>
      <c r="B58" s="28"/>
      <c r="C58" s="163"/>
      <c r="D58" s="164"/>
      <c r="E58" s="165"/>
      <c r="F58" s="28"/>
      <c r="G58" s="163"/>
      <c r="H58" s="164"/>
      <c r="I58" s="164"/>
      <c r="J58" s="165"/>
      <c r="K58" s="77"/>
      <c r="L58" s="77"/>
      <c r="M58" s="77"/>
      <c r="N58" s="77"/>
      <c r="O58" s="77"/>
      <c r="P58" s="77"/>
      <c r="Q58" s="77"/>
      <c r="R58" s="77"/>
    </row>
    <row r="59" spans="1:18" s="12" customFormat="1" hidden="1" x14ac:dyDescent="0.2">
      <c r="A59" s="15" t="str">
        <f>IF(Allgemein!F46=0,"",Allgemein!F46)</f>
        <v>bdew/Vattenfall</v>
      </c>
      <c r="B59" s="28"/>
      <c r="C59" s="163"/>
      <c r="D59" s="164"/>
      <c r="E59" s="165"/>
      <c r="F59" s="28"/>
      <c r="G59" s="163"/>
      <c r="H59" s="164"/>
      <c r="I59" s="164"/>
      <c r="J59" s="165"/>
      <c r="K59" s="77"/>
      <c r="L59" s="77"/>
      <c r="M59" s="77"/>
      <c r="N59" s="77"/>
      <c r="O59" s="77"/>
      <c r="P59" s="77"/>
      <c r="Q59" s="77"/>
      <c r="R59" s="77"/>
    </row>
    <row r="60" spans="1:18" s="12" customFormat="1" ht="12" hidden="1" customHeight="1" x14ac:dyDescent="0.2">
      <c r="A60" s="15" t="str">
        <f>IF(Allgemein!F47=0,"",Allgemein!F47)</f>
        <v>Ruhr-Universität Bochum</v>
      </c>
      <c r="B60" s="28"/>
      <c r="C60" s="163"/>
      <c r="D60" s="164"/>
      <c r="E60" s="165"/>
      <c r="F60" s="28"/>
      <c r="G60" s="163"/>
      <c r="H60" s="164"/>
      <c r="I60" s="164"/>
      <c r="J60" s="165"/>
      <c r="K60" s="77"/>
      <c r="L60" s="77"/>
      <c r="M60" s="77"/>
      <c r="N60" s="77"/>
      <c r="O60" s="77"/>
      <c r="P60" s="77"/>
      <c r="Q60" s="77"/>
      <c r="R60" s="77"/>
    </row>
    <row r="61" spans="1:18" s="12" customFormat="1" hidden="1" x14ac:dyDescent="0.2">
      <c r="A61" s="15" t="str">
        <f>IF(Allgemein!F48=0,"",Allgemein!F48)</f>
        <v>QuantiCor</v>
      </c>
      <c r="B61" s="28"/>
      <c r="C61" s="163"/>
      <c r="D61" s="164"/>
      <c r="E61" s="165"/>
      <c r="F61" s="28"/>
      <c r="G61" s="163"/>
      <c r="H61" s="164"/>
      <c r="I61" s="164"/>
      <c r="J61" s="165"/>
      <c r="K61" s="77"/>
      <c r="L61" s="77"/>
      <c r="M61" s="77"/>
      <c r="N61" s="77"/>
      <c r="O61" s="77"/>
      <c r="P61" s="77"/>
      <c r="Q61" s="77"/>
      <c r="R61" s="77"/>
    </row>
    <row r="62" spans="1:18" s="12" customFormat="1" hidden="1" x14ac:dyDescent="0.2">
      <c r="A62" s="15" t="str">
        <f>IF(Allgemein!F49=0,"",Allgemein!F49)</f>
        <v>Berlin Nanosatellite Alliance</v>
      </c>
      <c r="B62" s="28"/>
      <c r="C62" s="163"/>
      <c r="D62" s="164"/>
      <c r="E62" s="165"/>
      <c r="F62" s="28"/>
      <c r="G62" s="163"/>
      <c r="H62" s="164"/>
      <c r="I62" s="164"/>
      <c r="J62" s="165"/>
      <c r="K62" s="77"/>
      <c r="L62" s="77"/>
      <c r="M62" s="77"/>
      <c r="N62" s="77"/>
      <c r="O62" s="77"/>
      <c r="P62" s="77"/>
      <c r="Q62" s="77"/>
      <c r="R62" s="77"/>
    </row>
    <row r="63" spans="1:18" s="12" customFormat="1" ht="12" hidden="1" customHeight="1" x14ac:dyDescent="0.2">
      <c r="A63" s="15" t="str">
        <f>IF(Allgemein!F50=0,"",Allgemein!F50)</f>
        <v/>
      </c>
      <c r="B63" s="28"/>
      <c r="C63" s="163"/>
      <c r="D63" s="164"/>
      <c r="E63" s="165"/>
      <c r="F63" s="28"/>
      <c r="G63" s="163"/>
      <c r="H63" s="164"/>
      <c r="I63" s="164"/>
      <c r="J63" s="165"/>
      <c r="K63" s="77"/>
      <c r="L63" s="77"/>
      <c r="M63" s="77"/>
      <c r="N63" s="77"/>
      <c r="O63" s="77"/>
      <c r="P63" s="77"/>
      <c r="Q63" s="77"/>
      <c r="R63" s="77"/>
    </row>
    <row r="64" spans="1:18" s="12" customFormat="1" hidden="1" x14ac:dyDescent="0.2">
      <c r="A64" s="15" t="str">
        <f>IF(Allgemein!F51=0,"",Allgemein!F51)</f>
        <v/>
      </c>
      <c r="B64" s="28"/>
      <c r="C64" s="163"/>
      <c r="D64" s="164"/>
      <c r="E64" s="165"/>
      <c r="F64" s="28"/>
      <c r="G64" s="163"/>
      <c r="H64" s="164"/>
      <c r="I64" s="164"/>
      <c r="J64" s="165"/>
      <c r="K64" s="77"/>
      <c r="L64" s="77"/>
      <c r="M64" s="77"/>
      <c r="N64" s="77"/>
      <c r="O64" s="77"/>
      <c r="P64" s="77"/>
      <c r="Q64" s="77"/>
      <c r="R64" s="77"/>
    </row>
    <row r="65" spans="1:18" s="12" customFormat="1" hidden="1" x14ac:dyDescent="0.2">
      <c r="A65" s="15" t="str">
        <f>IF(Allgemein!F52=0,"",Allgemein!F52)</f>
        <v/>
      </c>
      <c r="B65" s="28"/>
      <c r="C65" s="163"/>
      <c r="D65" s="164"/>
      <c r="E65" s="165"/>
      <c r="F65" s="28"/>
      <c r="G65" s="163"/>
      <c r="H65" s="164"/>
      <c r="I65" s="164"/>
      <c r="J65" s="165"/>
      <c r="K65" s="77"/>
      <c r="L65" s="77"/>
      <c r="M65" s="77"/>
      <c r="N65" s="77"/>
      <c r="O65" s="77"/>
      <c r="P65" s="77"/>
      <c r="Q65" s="77"/>
      <c r="R65" s="77"/>
    </row>
    <row r="66" spans="1:18" s="12" customFormat="1" hidden="1" x14ac:dyDescent="0.2">
      <c r="A66" s="15" t="str">
        <f>IF(Allgemein!F53=0,"",Allgemein!F53)</f>
        <v/>
      </c>
      <c r="B66" s="28"/>
      <c r="C66" s="163"/>
      <c r="D66" s="164"/>
      <c r="E66" s="165"/>
      <c r="F66" s="28"/>
      <c r="G66" s="163"/>
      <c r="H66" s="164"/>
      <c r="I66" s="164"/>
      <c r="J66" s="165"/>
      <c r="K66" s="77"/>
      <c r="L66" s="77"/>
      <c r="M66" s="77"/>
      <c r="N66" s="77"/>
      <c r="O66" s="77"/>
      <c r="P66" s="77"/>
      <c r="Q66" s="77"/>
      <c r="R66" s="77"/>
    </row>
    <row r="67" spans="1:18" s="12" customFormat="1" hidden="1" x14ac:dyDescent="0.2">
      <c r="A67" s="15" t="str">
        <f>IF(Allgemein!F54=0,"",Allgemein!F54)</f>
        <v/>
      </c>
      <c r="B67" s="28"/>
      <c r="C67" s="163"/>
      <c r="D67" s="164"/>
      <c r="E67" s="165"/>
      <c r="F67" s="28"/>
      <c r="G67" s="163"/>
      <c r="H67" s="164"/>
      <c r="I67" s="164"/>
      <c r="J67" s="165"/>
      <c r="K67" s="77"/>
      <c r="L67" s="77"/>
      <c r="M67" s="77"/>
      <c r="N67" s="77"/>
      <c r="O67" s="77"/>
      <c r="P67" s="77"/>
      <c r="Q67" s="77"/>
      <c r="R67" s="77"/>
    </row>
    <row r="68" spans="1:18" s="12" customFormat="1" hidden="1" x14ac:dyDescent="0.2">
      <c r="A68" s="15" t="str">
        <f>IF(Allgemein!F55=0,"",Allgemein!F55)</f>
        <v/>
      </c>
      <c r="B68" s="28"/>
      <c r="C68" s="163"/>
      <c r="D68" s="164"/>
      <c r="E68" s="165"/>
      <c r="F68" s="28"/>
      <c r="G68" s="163"/>
      <c r="H68" s="164"/>
      <c r="I68" s="164"/>
      <c r="J68" s="165"/>
      <c r="K68" s="77"/>
      <c r="L68" s="77"/>
      <c r="M68" s="77"/>
      <c r="N68" s="77"/>
      <c r="O68" s="77"/>
      <c r="P68" s="77"/>
      <c r="Q68" s="77"/>
      <c r="R68" s="77"/>
    </row>
    <row r="69" spans="1:18" s="12" customFormat="1" hidden="1" x14ac:dyDescent="0.2">
      <c r="A69" s="15" t="str">
        <f>IF(Allgemein!F56=0,"",Allgemein!F56)</f>
        <v/>
      </c>
      <c r="B69" s="28"/>
      <c r="C69" s="163"/>
      <c r="D69" s="164"/>
      <c r="E69" s="165"/>
      <c r="F69" s="28"/>
      <c r="G69" s="163"/>
      <c r="H69" s="164"/>
      <c r="I69" s="164"/>
      <c r="J69" s="165"/>
      <c r="K69" s="77"/>
      <c r="L69" s="77"/>
      <c r="M69" s="77"/>
      <c r="N69" s="77"/>
      <c r="O69" s="77"/>
      <c r="P69" s="77"/>
      <c r="Q69" s="77"/>
      <c r="R69" s="77"/>
    </row>
    <row r="70" spans="1:18" s="12" customFormat="1" hidden="1" x14ac:dyDescent="0.2">
      <c r="A70" s="15" t="str">
        <f>IF(Allgemein!F57=0,"",Allgemein!F57)</f>
        <v/>
      </c>
      <c r="B70" s="28"/>
      <c r="C70" s="163"/>
      <c r="D70" s="164"/>
      <c r="E70" s="165"/>
      <c r="F70" s="28"/>
      <c r="G70" s="163"/>
      <c r="H70" s="164"/>
      <c r="I70" s="164"/>
      <c r="J70" s="165"/>
      <c r="K70" s="77"/>
      <c r="L70" s="77"/>
      <c r="M70" s="77"/>
      <c r="N70" s="77"/>
      <c r="O70" s="77"/>
      <c r="P70" s="77"/>
      <c r="Q70" s="77"/>
      <c r="R70" s="77"/>
    </row>
    <row r="71" spans="1:18" s="12" customFormat="1" hidden="1" x14ac:dyDescent="0.2">
      <c r="A71" s="15" t="str">
        <f>IF(Allgemein!F58=0,"",Allgemein!F58)</f>
        <v/>
      </c>
      <c r="B71" s="28"/>
      <c r="C71" s="163"/>
      <c r="D71" s="164"/>
      <c r="E71" s="165"/>
      <c r="F71" s="28"/>
      <c r="G71" s="163"/>
      <c r="H71" s="164"/>
      <c r="I71" s="164"/>
      <c r="J71" s="165"/>
      <c r="K71" s="77"/>
      <c r="L71" s="77"/>
      <c r="M71" s="77"/>
      <c r="N71" s="77"/>
      <c r="O71" s="77"/>
      <c r="P71" s="77"/>
      <c r="Q71" s="77"/>
      <c r="R71" s="77"/>
    </row>
    <row r="72" spans="1:18" s="12" customFormat="1" hidden="1" x14ac:dyDescent="0.2">
      <c r="A72" s="15" t="str">
        <f>IF(Allgemein!F59=0,"",Allgemein!F59)</f>
        <v/>
      </c>
      <c r="B72" s="28"/>
      <c r="C72" s="163"/>
      <c r="D72" s="164"/>
      <c r="E72" s="165"/>
      <c r="F72" s="28"/>
      <c r="G72" s="163"/>
      <c r="H72" s="164"/>
      <c r="I72" s="164"/>
      <c r="J72" s="165"/>
      <c r="K72" s="77"/>
      <c r="L72" s="77"/>
      <c r="M72" s="77"/>
      <c r="N72" s="77"/>
      <c r="O72" s="77"/>
      <c r="P72" s="77"/>
      <c r="Q72" s="77"/>
      <c r="R72" s="77"/>
    </row>
    <row r="73" spans="1:18" s="12" customFormat="1" hidden="1" x14ac:dyDescent="0.2">
      <c r="A73" s="15" t="str">
        <f>IF(Allgemein!F60=0,"",Allgemein!F60)</f>
        <v/>
      </c>
      <c r="B73" s="28"/>
      <c r="C73" s="163"/>
      <c r="D73" s="164"/>
      <c r="E73" s="165"/>
      <c r="F73" s="28"/>
      <c r="G73" s="163"/>
      <c r="H73" s="164"/>
      <c r="I73" s="164"/>
      <c r="J73" s="165"/>
      <c r="K73" s="77"/>
      <c r="L73" s="77"/>
      <c r="M73" s="77"/>
      <c r="N73" s="77"/>
      <c r="O73" s="77"/>
      <c r="P73" s="77"/>
      <c r="Q73" s="77"/>
      <c r="R73" s="77"/>
    </row>
    <row r="74" spans="1:18" s="12" customFormat="1" hidden="1" x14ac:dyDescent="0.2">
      <c r="A74" s="15" t="str">
        <f>IF(Allgemein!F61=0,"",Allgemein!F61)</f>
        <v/>
      </c>
      <c r="B74" s="28"/>
      <c r="C74" s="163"/>
      <c r="D74" s="164"/>
      <c r="E74" s="165"/>
      <c r="F74" s="28"/>
      <c r="G74" s="163"/>
      <c r="H74" s="164"/>
      <c r="I74" s="164"/>
      <c r="J74" s="165"/>
      <c r="K74" s="77"/>
      <c r="L74" s="77"/>
      <c r="M74" s="77"/>
      <c r="N74" s="77"/>
      <c r="O74" s="77"/>
      <c r="P74" s="77"/>
      <c r="Q74" s="77"/>
      <c r="R74" s="77"/>
    </row>
    <row r="75" spans="1:18" s="12" customFormat="1" hidden="1" x14ac:dyDescent="0.2">
      <c r="A75" s="15" t="str">
        <f>IF(Allgemein!F62=0,"",Allgemein!F62)</f>
        <v/>
      </c>
      <c r="B75" s="28"/>
      <c r="C75" s="163"/>
      <c r="D75" s="164"/>
      <c r="E75" s="165"/>
      <c r="F75" s="28"/>
      <c r="G75" s="163"/>
      <c r="H75" s="164"/>
      <c r="I75" s="164"/>
      <c r="J75" s="165"/>
      <c r="K75" s="77"/>
      <c r="L75" s="77"/>
      <c r="M75" s="77"/>
      <c r="N75" s="77"/>
      <c r="O75" s="77"/>
      <c r="P75" s="77"/>
      <c r="Q75" s="77"/>
      <c r="R75" s="77"/>
    </row>
    <row r="76" spans="1:18" s="12" customFormat="1" hidden="1" x14ac:dyDescent="0.2"/>
    <row r="77" spans="1:18" s="12" customFormat="1" ht="24" hidden="1" customHeight="1" x14ac:dyDescent="0.2">
      <c r="A77" s="74" t="s">
        <v>58</v>
      </c>
      <c r="B77" s="82" t="s">
        <v>63</v>
      </c>
      <c r="C77" s="74" t="s">
        <v>69</v>
      </c>
      <c r="E77" s="153" t="s">
        <v>79</v>
      </c>
      <c r="F77" s="155"/>
      <c r="G77" s="74" t="s">
        <v>63</v>
      </c>
      <c r="H77" s="74" t="s">
        <v>69</v>
      </c>
    </row>
    <row r="78" spans="1:18" s="12" customFormat="1" hidden="1" x14ac:dyDescent="0.2">
      <c r="A78" s="22" t="str">
        <f>IF(Allgemein!P43=0,"",Allgemein!P43)</f>
        <v/>
      </c>
      <c r="B78" s="27"/>
      <c r="C78" s="28"/>
      <c r="E78" s="163" t="str">
        <f>IF(Allgemein!N43=0,"",Allgemein!N43)</f>
        <v>Mobiler Arbeitsplatz</v>
      </c>
      <c r="F78" s="165"/>
      <c r="G78" s="28"/>
      <c r="H78" s="28"/>
    </row>
    <row r="79" spans="1:18" s="12" customFormat="1" hidden="1" x14ac:dyDescent="0.2">
      <c r="A79" s="22" t="str">
        <f>IF(Allgemein!P44=0,"",Allgemein!P44)</f>
        <v/>
      </c>
      <c r="B79" s="27"/>
      <c r="C79" s="28"/>
      <c r="E79" s="163" t="str">
        <f>IF(Allgemein!N44=0,"",Allgemein!N44)</f>
        <v>Scanner (Dokument)</v>
      </c>
      <c r="F79" s="165"/>
      <c r="G79" s="28"/>
      <c r="H79" s="28"/>
    </row>
    <row r="80" spans="1:18" s="12" customFormat="1" ht="12" hidden="1" customHeight="1" x14ac:dyDescent="0.2">
      <c r="A80" s="22" t="str">
        <f>IF(Allgemein!P45=0,"",Allgemein!P45)</f>
        <v/>
      </c>
      <c r="B80" s="27"/>
      <c r="C80" s="28"/>
      <c r="E80" s="163" t="str">
        <f>IF(Allgemein!N45=0,"",Allgemein!N45)</f>
        <v>Drucker (normal)</v>
      </c>
      <c r="F80" s="165"/>
      <c r="G80" s="28"/>
      <c r="H80" s="28"/>
    </row>
    <row r="81" spans="1:8" s="12" customFormat="1" ht="12" hidden="1" customHeight="1" x14ac:dyDescent="0.2">
      <c r="A81" s="22" t="str">
        <f>IF(Allgemein!P46=0,"",Allgemein!P46)</f>
        <v/>
      </c>
      <c r="B81" s="27"/>
      <c r="C81" s="28"/>
      <c r="E81" s="163" t="str">
        <f>IF(Allgemein!N46=0,"",Allgemein!N46)</f>
        <v>Laptop</v>
      </c>
      <c r="F81" s="165"/>
      <c r="G81" s="28"/>
      <c r="H81" s="28"/>
    </row>
    <row r="82" spans="1:8" s="12" customFormat="1" ht="12" hidden="1" customHeight="1" x14ac:dyDescent="0.2">
      <c r="A82" s="22" t="str">
        <f>IF(Allgemein!P47=0,"",Allgemein!P47)</f>
        <v/>
      </c>
      <c r="B82" s="27"/>
      <c r="C82" s="28"/>
      <c r="E82" s="163" t="str">
        <f>IF(Allgemein!N47=0,"",Allgemein!N47)</f>
        <v>Router/Switch</v>
      </c>
      <c r="F82" s="165"/>
      <c r="G82" s="28"/>
      <c r="H82" s="28"/>
    </row>
    <row r="83" spans="1:8" s="12" customFormat="1" ht="12" hidden="1" customHeight="1" x14ac:dyDescent="0.2">
      <c r="A83" s="22" t="str">
        <f>IF(Allgemein!P48=0,"",Allgemein!P48)</f>
        <v/>
      </c>
      <c r="B83" s="27"/>
      <c r="C83" s="28"/>
      <c r="E83" s="163" t="str">
        <f>IF(Allgemein!N48=0,"",Allgemein!N48)</f>
        <v/>
      </c>
      <c r="F83" s="165"/>
      <c r="G83" s="28"/>
      <c r="H83" s="28"/>
    </row>
    <row r="84" spans="1:8" s="12" customFormat="1" hidden="1" x14ac:dyDescent="0.2">
      <c r="A84" s="22" t="str">
        <f>IF(Allgemein!P49=0,"",Allgemein!P49)</f>
        <v/>
      </c>
      <c r="B84" s="27"/>
      <c r="C84" s="28"/>
      <c r="E84" s="163" t="str">
        <f>IF(Allgemein!N49=0,"",Allgemein!N49)</f>
        <v/>
      </c>
      <c r="F84" s="165"/>
      <c r="G84" s="28"/>
      <c r="H84" s="28"/>
    </row>
    <row r="85" spans="1:8" s="12" customFormat="1" hidden="1" x14ac:dyDescent="0.2">
      <c r="A85" s="22" t="str">
        <f>IF(Allgemein!P50=0,"",Allgemein!P50)</f>
        <v/>
      </c>
      <c r="B85" s="27"/>
      <c r="C85" s="28"/>
      <c r="E85" s="163" t="str">
        <f>IF(Allgemein!N50=0,"",Allgemein!N50)</f>
        <v/>
      </c>
      <c r="F85" s="165"/>
      <c r="G85" s="28"/>
      <c r="H85" s="28"/>
    </row>
    <row r="86" spans="1:8" s="12" customFormat="1" hidden="1" x14ac:dyDescent="0.2">
      <c r="A86" s="22" t="str">
        <f>IF(Allgemein!P51=0,"",Allgemein!P51)</f>
        <v/>
      </c>
      <c r="B86" s="27"/>
      <c r="C86" s="28"/>
      <c r="E86" s="163" t="str">
        <f>IF(Allgemein!N51=0,"",Allgemein!N51)</f>
        <v/>
      </c>
      <c r="F86" s="165"/>
      <c r="G86" s="28"/>
      <c r="H86" s="28"/>
    </row>
    <row r="87" spans="1:8" s="12" customFormat="1" hidden="1" x14ac:dyDescent="0.2">
      <c r="A87" s="22" t="str">
        <f>IF(Allgemein!P52=0,"",Allgemein!P52)</f>
        <v/>
      </c>
      <c r="B87" s="27"/>
      <c r="C87" s="28"/>
      <c r="E87" s="163" t="str">
        <f>IF(Allgemein!N52=0,"",Allgemein!N52)</f>
        <v/>
      </c>
      <c r="F87" s="165"/>
      <c r="G87" s="28"/>
      <c r="H87" s="28"/>
    </row>
    <row r="88" spans="1:8" s="12" customFormat="1" hidden="1" x14ac:dyDescent="0.2">
      <c r="A88" s="22" t="str">
        <f>IF(Allgemein!P53=0,"",Allgemein!P53)</f>
        <v/>
      </c>
      <c r="B88" s="27"/>
      <c r="C88" s="28"/>
      <c r="E88" s="163" t="str">
        <f>IF(Allgemein!N53=0,"",Allgemein!N53)</f>
        <v/>
      </c>
      <c r="F88" s="165"/>
      <c r="G88" s="28"/>
      <c r="H88" s="28"/>
    </row>
    <row r="89" spans="1:8" s="12" customFormat="1" hidden="1" x14ac:dyDescent="0.2">
      <c r="A89" s="22" t="str">
        <f>IF(Allgemein!P54=0,"",Allgemein!P54)</f>
        <v/>
      </c>
      <c r="B89" s="27"/>
      <c r="C89" s="28"/>
      <c r="E89" s="163" t="str">
        <f>IF(Allgemein!N54=0,"",Allgemein!N54)</f>
        <v/>
      </c>
      <c r="F89" s="165"/>
      <c r="G89" s="28"/>
      <c r="H89" s="28"/>
    </row>
    <row r="90" spans="1:8" s="12" customFormat="1" hidden="1" x14ac:dyDescent="0.2">
      <c r="A90" s="22" t="str">
        <f>IF(Allgemein!P55=0,"",Allgemein!P55)</f>
        <v/>
      </c>
      <c r="B90" s="27"/>
      <c r="C90" s="28"/>
      <c r="E90" s="163" t="str">
        <f>IF(Allgemein!N55=0,"",Allgemein!N55)</f>
        <v/>
      </c>
      <c r="F90" s="165"/>
      <c r="G90" s="28"/>
      <c r="H90" s="28"/>
    </row>
    <row r="91" spans="1:8" s="12" customFormat="1" hidden="1" x14ac:dyDescent="0.2">
      <c r="A91" s="22" t="str">
        <f>IF(Allgemein!P56=0,"",Allgemein!P56)</f>
        <v/>
      </c>
      <c r="B91" s="27"/>
      <c r="C91" s="28"/>
      <c r="E91" s="163" t="str">
        <f>IF(Allgemein!N56=0,"",Allgemein!N56)</f>
        <v/>
      </c>
      <c r="F91" s="165"/>
      <c r="G91" s="28"/>
      <c r="H91" s="28"/>
    </row>
    <row r="92" spans="1:8" s="12" customFormat="1" hidden="1" x14ac:dyDescent="0.2">
      <c r="A92" s="22" t="str">
        <f>IF(Allgemein!P57=0,"",Allgemein!P57)</f>
        <v/>
      </c>
      <c r="B92" s="27"/>
      <c r="C92" s="28"/>
      <c r="E92" s="163" t="str">
        <f>IF(Allgemein!N57=0,"",Allgemein!N57)</f>
        <v/>
      </c>
      <c r="F92" s="165"/>
      <c r="G92" s="28"/>
      <c r="H92" s="28"/>
    </row>
    <row r="93" spans="1:8" s="12" customFormat="1" hidden="1" x14ac:dyDescent="0.2">
      <c r="A93" s="22" t="str">
        <f>IF(Allgemein!P58=0,"",Allgemein!P58)</f>
        <v/>
      </c>
      <c r="B93" s="27"/>
      <c r="C93" s="28"/>
      <c r="E93" s="163" t="str">
        <f>IF(Allgemein!N58=0,"",Allgemein!N58)</f>
        <v/>
      </c>
      <c r="F93" s="165"/>
      <c r="G93" s="28"/>
      <c r="H93" s="28"/>
    </row>
    <row r="94" spans="1:8" s="12" customFormat="1" hidden="1" x14ac:dyDescent="0.2">
      <c r="A94" s="22" t="str">
        <f>IF(Allgemein!P59=0,"",Allgemein!P59)</f>
        <v/>
      </c>
      <c r="B94" s="27"/>
      <c r="C94" s="28"/>
      <c r="E94" s="163" t="str">
        <f>IF(Allgemein!N59=0,"",Allgemein!N59)</f>
        <v/>
      </c>
      <c r="F94" s="165"/>
      <c r="G94" s="28"/>
      <c r="H94" s="28"/>
    </row>
    <row r="95" spans="1:8" s="12" customFormat="1" hidden="1" x14ac:dyDescent="0.2">
      <c r="A95" s="22" t="str">
        <f>IF(Allgemein!P60=0,"",Allgemein!P60)</f>
        <v/>
      </c>
      <c r="B95" s="27"/>
      <c r="C95" s="28"/>
      <c r="E95" s="163" t="str">
        <f>IF(Allgemein!N60=0,"",Allgemein!N60)</f>
        <v/>
      </c>
      <c r="F95" s="165"/>
      <c r="G95" s="28"/>
      <c r="H95" s="28"/>
    </row>
    <row r="96" spans="1:8" s="12" customFormat="1" hidden="1" x14ac:dyDescent="0.2">
      <c r="A96" s="22" t="str">
        <f>IF(Allgemein!P61=0,"",Allgemein!P61)</f>
        <v/>
      </c>
      <c r="B96" s="27"/>
      <c r="C96" s="28"/>
      <c r="E96" s="163" t="str">
        <f>IF(Allgemein!N61=0,"",Allgemein!N61)</f>
        <v/>
      </c>
      <c r="F96" s="165"/>
      <c r="G96" s="28"/>
      <c r="H96" s="28"/>
    </row>
    <row r="97" spans="1:43" s="12" customFormat="1" hidden="1" x14ac:dyDescent="0.2">
      <c r="A97" s="22" t="str">
        <f>IF(Allgemein!P62=0,"",Allgemein!P62)</f>
        <v/>
      </c>
      <c r="B97" s="27"/>
      <c r="C97" s="28"/>
      <c r="E97" s="163" t="str">
        <f>IF(Allgemein!N62=0,"",Allgemein!N62)</f>
        <v/>
      </c>
      <c r="F97" s="165"/>
      <c r="G97" s="28"/>
      <c r="H97" s="28"/>
    </row>
    <row r="98" spans="1:43" s="12" customFormat="1" hidden="1" x14ac:dyDescent="0.2">
      <c r="A98" s="22" t="str">
        <f>IF(Allgemein!P63=0,"",Allgemein!P63)</f>
        <v/>
      </c>
      <c r="B98" s="27"/>
      <c r="C98" s="28"/>
      <c r="E98" s="163" t="str">
        <f>IF(Allgemein!N63=0,"",Allgemein!N63)</f>
        <v/>
      </c>
      <c r="F98" s="165"/>
      <c r="G98" s="28"/>
      <c r="H98" s="28"/>
    </row>
    <row r="99" spans="1:43" s="12" customFormat="1" hidden="1" x14ac:dyDescent="0.2">
      <c r="A99" s="22" t="str">
        <f>IF(Allgemein!P64=0,"",Allgemein!P64)</f>
        <v/>
      </c>
      <c r="B99" s="27"/>
      <c r="C99" s="28"/>
      <c r="E99" s="163" t="str">
        <f>IF(Allgemein!N64=0,"",Allgemein!N64)</f>
        <v/>
      </c>
      <c r="F99" s="165"/>
      <c r="G99" s="28"/>
      <c r="H99" s="28"/>
    </row>
    <row r="100" spans="1:43" s="12" customFormat="1" hidden="1" x14ac:dyDescent="0.2">
      <c r="A100" s="22" t="str">
        <f>IF(Allgemein!P65=0,"",Allgemein!P65)</f>
        <v/>
      </c>
      <c r="B100" s="27"/>
      <c r="C100" s="28"/>
      <c r="E100" s="163" t="str">
        <f>IF(Allgemein!N65=0,"",Allgemein!N65)</f>
        <v/>
      </c>
      <c r="F100" s="165"/>
      <c r="G100" s="28"/>
      <c r="H100" s="28"/>
    </row>
    <row r="101" spans="1:43" s="12" customFormat="1" hidden="1" x14ac:dyDescent="0.2">
      <c r="A101" s="22" t="str">
        <f>IF(Allgemein!P66=0,"",Allgemein!P66)</f>
        <v/>
      </c>
      <c r="B101" s="27"/>
      <c r="C101" s="28"/>
      <c r="E101" s="163" t="str">
        <f>IF(Allgemein!N66=0,"",Allgemein!N66)</f>
        <v/>
      </c>
      <c r="F101" s="165"/>
      <c r="G101" s="28"/>
      <c r="H101" s="28"/>
    </row>
    <row r="102" spans="1:43" s="12" customFormat="1" hidden="1" x14ac:dyDescent="0.2">
      <c r="A102" s="22" t="str">
        <f>IF(Allgemein!P67=0,"",Allgemein!P67)</f>
        <v/>
      </c>
      <c r="B102" s="27"/>
      <c r="C102" s="28"/>
      <c r="E102" s="163" t="str">
        <f>IF(Allgemein!N67=0,"",Allgemein!N67)</f>
        <v/>
      </c>
      <c r="F102" s="165"/>
      <c r="G102" s="28"/>
      <c r="H102" s="28"/>
    </row>
    <row r="103" spans="1:43" s="12" customFormat="1" hidden="1" x14ac:dyDescent="0.2">
      <c r="A103" s="22" t="str">
        <f>IF(Allgemein!P68=0,"",Allgemein!P68)</f>
        <v/>
      </c>
      <c r="B103" s="27"/>
      <c r="C103" s="28"/>
      <c r="E103" s="163" t="str">
        <f>IF(Allgemein!N68=0,"",Allgemein!N68)</f>
        <v/>
      </c>
      <c r="F103" s="165"/>
      <c r="G103" s="28"/>
      <c r="H103" s="28"/>
    </row>
    <row r="104" spans="1:43" s="12" customFormat="1" hidden="1" x14ac:dyDescent="0.2">
      <c r="A104" s="13"/>
      <c r="B104" s="13"/>
      <c r="C104" s="13"/>
    </row>
    <row r="105" spans="1:43" s="12" customFormat="1" ht="107.1" customHeight="1" x14ac:dyDescent="0.2">
      <c r="A105" s="153" t="s">
        <v>80</v>
      </c>
      <c r="B105" s="155"/>
      <c r="C105" s="74"/>
      <c r="D105" s="34" t="str">
        <f>Allgemein!C43</f>
        <v>Arbeitsergebnisse</v>
      </c>
      <c r="E105" s="34" t="s">
        <v>363</v>
      </c>
      <c r="F105" s="34" t="str">
        <f>Allgemein!C44</f>
        <v>Projektdokumentation</v>
      </c>
      <c r="G105" s="34" t="str">
        <f>Allgemein!C45</f>
        <v>IT-System- und Dokumentenmanagement</v>
      </c>
      <c r="H105" s="34" t="str">
        <f>Allgemein!C46</f>
        <v>Altprojektdatenbank</v>
      </c>
      <c r="I105" s="34" t="str">
        <f>Allgemein!C47</f>
        <v>Projektfeinplanung (Arbeitspakete - Git Tickets)</v>
      </c>
      <c r="J105" s="34" t="str">
        <f>Allgemein!C48</f>
        <v>Projektgrobplanung</v>
      </c>
      <c r="K105" s="34" t="str">
        <f>Allgemein!C49</f>
        <v>Rechnungsmanagement</v>
      </c>
      <c r="L105" s="34" t="str">
        <f>Allgemein!C50</f>
        <v>Projektbasierte Risikoanalyse</v>
      </c>
      <c r="M105" s="34" t="str">
        <f>Allgemein!C51</f>
        <v>Wiki Wissensdatenbank</v>
      </c>
      <c r="N105" s="34" t="str">
        <f>Allgemein!C52</f>
        <v>Source Code</v>
      </c>
      <c r="O105" s="34" t="str">
        <f>Allgemein!C53</f>
        <v>Missionsdaten</v>
      </c>
      <c r="P105" s="34" t="str">
        <f>Allgemein!C54</f>
        <v>Schlüsselmaterial Mission</v>
      </c>
      <c r="Q105" s="34">
        <f>Allgemein!C56</f>
        <v>0</v>
      </c>
      <c r="R105" s="34">
        <f>Allgemein!C57</f>
        <v>0</v>
      </c>
      <c r="S105" s="34">
        <f>Allgemein!C58</f>
        <v>0</v>
      </c>
      <c r="T105" s="34">
        <f>Allgemein!C59</f>
        <v>0</v>
      </c>
      <c r="U105" s="34">
        <f>Allgemein!C60</f>
        <v>0</v>
      </c>
      <c r="V105" s="34">
        <f>Allgemein!C61</f>
        <v>0</v>
      </c>
      <c r="W105" s="34">
        <f>Allgemein!C62</f>
        <v>0</v>
      </c>
      <c r="X105" s="34">
        <f>Allgemein!C63</f>
        <v>0</v>
      </c>
      <c r="Y105" s="34">
        <f>Allgemein!C64</f>
        <v>0</v>
      </c>
      <c r="Z105" s="34">
        <f>Allgemein!C65</f>
        <v>0</v>
      </c>
      <c r="AA105" s="34">
        <f>Allgemein!C66</f>
        <v>0</v>
      </c>
      <c r="AB105" s="34">
        <f>Allgemein!C67</f>
        <v>0</v>
      </c>
      <c r="AC105" s="34">
        <f>Allgemein!C68</f>
        <v>0</v>
      </c>
      <c r="AD105" s="34">
        <f>Allgemein!C69</f>
        <v>0</v>
      </c>
      <c r="AE105" s="34">
        <f>Allgemein!C70</f>
        <v>0</v>
      </c>
      <c r="AF105" s="34">
        <f>Allgemein!C71</f>
        <v>0</v>
      </c>
      <c r="AG105" s="34">
        <f>Allgemein!C72</f>
        <v>0</v>
      </c>
      <c r="AH105" s="34">
        <f>Allgemein!C73</f>
        <v>0</v>
      </c>
      <c r="AI105" s="34">
        <f>Allgemein!C74</f>
        <v>0</v>
      </c>
      <c r="AJ105" s="34">
        <f>Allgemein!C75</f>
        <v>0</v>
      </c>
      <c r="AK105" s="34">
        <f>Allgemein!C76</f>
        <v>0</v>
      </c>
      <c r="AL105" s="34">
        <f>Allgemein!C77</f>
        <v>0</v>
      </c>
      <c r="AM105" s="34">
        <f>Allgemein!C78</f>
        <v>0</v>
      </c>
      <c r="AN105" s="34">
        <f>Allgemein!C79</f>
        <v>0</v>
      </c>
      <c r="AO105" s="34">
        <f>Allgemein!C80</f>
        <v>0</v>
      </c>
      <c r="AP105" s="34">
        <f>Allgemein!C81</f>
        <v>0</v>
      </c>
      <c r="AQ105" s="34">
        <f>Allgemein!C82</f>
        <v>0</v>
      </c>
    </row>
    <row r="106" spans="1:43" s="12" customFormat="1" x14ac:dyDescent="0.2">
      <c r="A106" s="173" t="s">
        <v>278</v>
      </c>
      <c r="B106" s="173"/>
      <c r="C106" s="84"/>
      <c r="D106" s="35"/>
      <c r="E106" s="35"/>
      <c r="F106" s="35"/>
      <c r="G106" s="104"/>
      <c r="H106" s="35"/>
      <c r="I106" s="115" t="s">
        <v>357</v>
      </c>
      <c r="J106" s="104"/>
      <c r="K106" s="104"/>
      <c r="L106" s="104"/>
      <c r="M106" s="35"/>
      <c r="N106" s="104"/>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row>
    <row r="107" spans="1:43" s="12" customFormat="1" x14ac:dyDescent="0.2">
      <c r="A107" s="12" t="s">
        <v>279</v>
      </c>
      <c r="C107" s="84"/>
      <c r="D107" s="35"/>
      <c r="E107" s="35"/>
      <c r="F107" s="35"/>
      <c r="G107" s="104"/>
      <c r="H107" s="35"/>
      <c r="I107" s="115" t="s">
        <v>357</v>
      </c>
      <c r="J107" s="104"/>
      <c r="K107" s="104"/>
      <c r="L107" s="104"/>
      <c r="M107" s="35"/>
      <c r="N107" s="104"/>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row>
    <row r="108" spans="1:43" s="12" customFormat="1" x14ac:dyDescent="0.2">
      <c r="A108" s="173" t="s">
        <v>282</v>
      </c>
      <c r="B108" s="173"/>
      <c r="C108" s="85"/>
      <c r="D108" s="115" t="s">
        <v>357</v>
      </c>
      <c r="E108" s="35"/>
      <c r="F108" s="116"/>
      <c r="G108" s="104"/>
      <c r="H108" s="116"/>
      <c r="I108" s="35"/>
      <c r="J108" s="104"/>
      <c r="K108" s="104"/>
      <c r="L108" s="104"/>
      <c r="M108" s="116"/>
      <c r="N108" s="104"/>
      <c r="O108" s="115" t="s">
        <v>357</v>
      </c>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row>
    <row r="109" spans="1:43" s="12" customFormat="1" x14ac:dyDescent="0.2">
      <c r="A109" s="173" t="s">
        <v>283</v>
      </c>
      <c r="B109" s="173"/>
      <c r="C109" s="84"/>
      <c r="D109" s="115" t="s">
        <v>357</v>
      </c>
      <c r="E109" s="35"/>
      <c r="F109" s="116"/>
      <c r="G109" s="104"/>
      <c r="H109" s="116"/>
      <c r="I109" s="35"/>
      <c r="J109" s="104"/>
      <c r="K109" s="104"/>
      <c r="L109" s="104"/>
      <c r="M109" s="116"/>
      <c r="N109" s="104"/>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row>
    <row r="110" spans="1:43" s="12" customFormat="1" x14ac:dyDescent="0.2">
      <c r="A110" s="173" t="s">
        <v>290</v>
      </c>
      <c r="B110" s="173"/>
      <c r="C110" s="84"/>
      <c r="D110" s="116"/>
      <c r="E110" s="35"/>
      <c r="F110" s="116"/>
      <c r="G110" s="104"/>
      <c r="H110" s="35"/>
      <c r="I110" s="35"/>
      <c r="J110" s="104"/>
      <c r="K110" s="104"/>
      <c r="L110" s="104"/>
      <c r="M110" s="35"/>
      <c r="N110" s="104"/>
      <c r="O110" s="115" t="s">
        <v>357</v>
      </c>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row>
    <row r="111" spans="1:43" s="12" customFormat="1" x14ac:dyDescent="0.2">
      <c r="A111" s="173" t="s">
        <v>291</v>
      </c>
      <c r="B111" s="173"/>
      <c r="C111" s="84"/>
      <c r="D111" s="116"/>
      <c r="E111" s="35"/>
      <c r="F111" s="116"/>
      <c r="G111" s="104"/>
      <c r="H111" s="35"/>
      <c r="I111" s="35"/>
      <c r="J111" s="104"/>
      <c r="K111" s="104"/>
      <c r="L111" s="104"/>
      <c r="M111" s="35"/>
      <c r="N111" s="104"/>
      <c r="O111" s="115" t="s">
        <v>357</v>
      </c>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row>
    <row r="112" spans="1:43" s="12" customFormat="1" x14ac:dyDescent="0.2">
      <c r="A112" s="84" t="s">
        <v>292</v>
      </c>
      <c r="B112" s="84"/>
      <c r="C112" s="84"/>
      <c r="D112" s="116"/>
      <c r="E112" s="35"/>
      <c r="F112" s="116"/>
      <c r="G112" s="104"/>
      <c r="H112" s="35"/>
      <c r="I112" s="35"/>
      <c r="J112" s="104"/>
      <c r="K112" s="104"/>
      <c r="L112" s="104"/>
      <c r="M112" s="35"/>
      <c r="N112" s="104"/>
      <c r="O112" s="115" t="s">
        <v>357</v>
      </c>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row>
    <row r="113" spans="1:43" s="12" customFormat="1" x14ac:dyDescent="0.2">
      <c r="A113" s="84" t="s">
        <v>293</v>
      </c>
      <c r="B113" s="84"/>
      <c r="C113" s="84"/>
      <c r="D113" s="116"/>
      <c r="E113" s="35"/>
      <c r="F113" s="116"/>
      <c r="G113" s="104"/>
      <c r="H113" s="35"/>
      <c r="I113" s="35"/>
      <c r="J113" s="104"/>
      <c r="K113" s="104"/>
      <c r="L113" s="104"/>
      <c r="M113" s="35"/>
      <c r="N113" s="104"/>
      <c r="O113" s="115" t="s">
        <v>357</v>
      </c>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row>
    <row r="114" spans="1:43" s="12" customFormat="1" x14ac:dyDescent="0.2">
      <c r="A114" s="84" t="s">
        <v>294</v>
      </c>
      <c r="B114" s="84"/>
      <c r="C114" s="84"/>
      <c r="D114" s="116"/>
      <c r="E114" s="35"/>
      <c r="F114" s="116"/>
      <c r="G114" s="104"/>
      <c r="H114" s="35"/>
      <c r="I114" s="35"/>
      <c r="J114" s="104"/>
      <c r="K114" s="104"/>
      <c r="L114" s="104"/>
      <c r="M114" s="35"/>
      <c r="N114" s="104"/>
      <c r="O114" s="115" t="s">
        <v>357</v>
      </c>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row>
    <row r="115" spans="1:43" s="12" customFormat="1" x14ac:dyDescent="0.2">
      <c r="A115" s="84" t="s">
        <v>295</v>
      </c>
      <c r="B115" s="84"/>
      <c r="C115" s="84"/>
      <c r="D115" s="116"/>
      <c r="E115" s="35"/>
      <c r="F115" s="116"/>
      <c r="G115" s="104"/>
      <c r="H115" s="35"/>
      <c r="I115" s="35"/>
      <c r="J115" s="104"/>
      <c r="K115" s="104"/>
      <c r="L115" s="104"/>
      <c r="M115" s="35"/>
      <c r="N115" s="104"/>
      <c r="O115" s="115" t="s">
        <v>357</v>
      </c>
      <c r="P115" s="115" t="s">
        <v>357</v>
      </c>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row>
    <row r="116" spans="1:43" s="12" customFormat="1" x14ac:dyDescent="0.2">
      <c r="A116" s="84" t="s">
        <v>296</v>
      </c>
      <c r="B116" s="84"/>
      <c r="C116" s="84"/>
      <c r="D116" s="116"/>
      <c r="E116" s="35"/>
      <c r="F116" s="116"/>
      <c r="G116" s="104"/>
      <c r="H116" s="35"/>
      <c r="I116" s="35"/>
      <c r="J116" s="104"/>
      <c r="K116" s="104"/>
      <c r="L116" s="104"/>
      <c r="M116" s="35"/>
      <c r="N116" s="104"/>
      <c r="O116" s="115" t="s">
        <v>357</v>
      </c>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row>
    <row r="117" spans="1:43" s="12" customFormat="1" x14ac:dyDescent="0.2">
      <c r="A117" s="84" t="s">
        <v>297</v>
      </c>
      <c r="B117" s="84"/>
      <c r="C117" s="84"/>
      <c r="D117" s="116"/>
      <c r="E117" s="35"/>
      <c r="F117" s="116"/>
      <c r="G117" s="104"/>
      <c r="H117" s="35"/>
      <c r="I117" s="35"/>
      <c r="J117" s="104"/>
      <c r="K117" s="104"/>
      <c r="L117" s="104"/>
      <c r="M117" s="35"/>
      <c r="N117" s="104"/>
      <c r="O117" s="115" t="s">
        <v>357</v>
      </c>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row>
    <row r="118" spans="1:43" s="12" customFormat="1" x14ac:dyDescent="0.2">
      <c r="A118" s="84" t="s">
        <v>298</v>
      </c>
      <c r="B118" s="84"/>
      <c r="C118" s="84"/>
      <c r="D118" s="116"/>
      <c r="E118" s="35"/>
      <c r="F118" s="116"/>
      <c r="G118" s="104"/>
      <c r="H118" s="35"/>
      <c r="I118" s="35"/>
      <c r="J118" s="104"/>
      <c r="K118" s="104"/>
      <c r="L118" s="104"/>
      <c r="M118" s="35"/>
      <c r="N118" s="104"/>
      <c r="O118" s="115" t="s">
        <v>357</v>
      </c>
      <c r="P118" s="115" t="s">
        <v>357</v>
      </c>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row>
    <row r="119" spans="1:43" s="12" customFormat="1" x14ac:dyDescent="0.2">
      <c r="A119" s="84" t="s">
        <v>299</v>
      </c>
      <c r="B119" s="84"/>
      <c r="C119" s="84"/>
      <c r="D119" s="116"/>
      <c r="E119" s="35"/>
      <c r="F119" s="116"/>
      <c r="G119" s="104"/>
      <c r="H119" s="35"/>
      <c r="I119" s="35"/>
      <c r="J119" s="104"/>
      <c r="K119" s="104"/>
      <c r="L119" s="104"/>
      <c r="M119" s="35"/>
      <c r="N119" s="104"/>
      <c r="O119" s="115" t="s">
        <v>357</v>
      </c>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row>
    <row r="120" spans="1:43" s="12" customFormat="1" x14ac:dyDescent="0.2">
      <c r="A120" s="84" t="s">
        <v>273</v>
      </c>
      <c r="B120" s="84"/>
      <c r="C120" s="84"/>
      <c r="D120" s="35"/>
      <c r="E120" s="35"/>
      <c r="F120" s="115" t="s">
        <v>357</v>
      </c>
      <c r="G120" s="104"/>
      <c r="H120" s="115" t="s">
        <v>357</v>
      </c>
      <c r="I120" s="35"/>
      <c r="J120" s="104"/>
      <c r="K120" s="104"/>
      <c r="L120" s="104"/>
      <c r="M120" s="115" t="s">
        <v>357</v>
      </c>
      <c r="N120" s="104"/>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row>
    <row r="121" spans="1:43" s="12" customFormat="1" x14ac:dyDescent="0.2">
      <c r="A121" s="84" t="s">
        <v>274</v>
      </c>
      <c r="B121" s="84"/>
      <c r="C121" s="84"/>
      <c r="D121" s="35"/>
      <c r="E121" s="35"/>
      <c r="F121" s="115" t="s">
        <v>357</v>
      </c>
      <c r="G121" s="104"/>
      <c r="H121" s="115" t="s">
        <v>357</v>
      </c>
      <c r="I121" s="35"/>
      <c r="J121" s="104"/>
      <c r="K121" s="104"/>
      <c r="L121" s="104"/>
      <c r="M121" s="115" t="s">
        <v>357</v>
      </c>
      <c r="N121" s="104"/>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row>
    <row r="122" spans="1:43" s="12" customFormat="1" x14ac:dyDescent="0.2">
      <c r="A122" s="84"/>
      <c r="B122" s="84"/>
      <c r="C122" s="84"/>
      <c r="D122" s="35"/>
      <c r="E122" s="35"/>
      <c r="F122" s="35"/>
      <c r="G122" s="104"/>
      <c r="H122" s="35"/>
      <c r="I122" s="35"/>
      <c r="J122" s="104"/>
      <c r="K122" s="104"/>
      <c r="L122" s="104"/>
      <c r="M122" s="35"/>
      <c r="N122" s="104"/>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row>
    <row r="123" spans="1:43" s="12" customFormat="1" x14ac:dyDescent="0.2">
      <c r="A123" s="84"/>
      <c r="B123" s="84"/>
      <c r="C123" s="84"/>
      <c r="D123" s="35"/>
      <c r="E123" s="35"/>
      <c r="F123" s="35"/>
      <c r="G123" s="104"/>
      <c r="H123" s="35"/>
      <c r="I123" s="35"/>
      <c r="J123" s="104"/>
      <c r="K123" s="104"/>
      <c r="L123" s="104"/>
      <c r="M123" s="35"/>
      <c r="N123" s="104"/>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row>
    <row r="124" spans="1:43" s="12" customFormat="1" x14ac:dyDescent="0.2">
      <c r="A124" s="84"/>
      <c r="B124" s="84"/>
      <c r="C124" s="85"/>
      <c r="D124" s="35"/>
      <c r="E124" s="35"/>
      <c r="F124" s="35"/>
      <c r="G124" s="104"/>
      <c r="H124" s="35"/>
      <c r="I124" s="35"/>
      <c r="J124" s="104"/>
      <c r="K124" s="104"/>
      <c r="L124" s="104"/>
      <c r="M124" s="35"/>
      <c r="N124" s="104"/>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row>
    <row r="125" spans="1:43" s="12" customFormat="1" x14ac:dyDescent="0.2">
      <c r="A125" s="84"/>
      <c r="B125" s="84"/>
      <c r="C125" s="84"/>
      <c r="D125" s="35"/>
      <c r="E125" s="35"/>
      <c r="F125" s="35"/>
      <c r="G125" s="104"/>
      <c r="H125" s="35"/>
      <c r="I125" s="35"/>
      <c r="J125" s="104"/>
      <c r="K125" s="104"/>
      <c r="L125" s="104"/>
      <c r="M125" s="35"/>
      <c r="N125" s="104"/>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row>
    <row r="126" spans="1:43" s="12" customFormat="1" x14ac:dyDescent="0.2">
      <c r="A126" s="84"/>
      <c r="B126" s="84"/>
      <c r="C126" s="84"/>
      <c r="D126" s="35"/>
      <c r="E126" s="35"/>
      <c r="F126" s="35"/>
      <c r="G126" s="104"/>
      <c r="H126" s="35"/>
      <c r="I126" s="35"/>
      <c r="J126" s="104"/>
      <c r="K126" s="104"/>
      <c r="L126" s="104"/>
      <c r="M126" s="35"/>
      <c r="N126" s="104"/>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row>
    <row r="127" spans="1:43" s="12" customFormat="1" x14ac:dyDescent="0.2">
      <c r="A127" s="84"/>
      <c r="B127" s="84"/>
      <c r="C127" s="84"/>
      <c r="D127" s="35"/>
      <c r="E127" s="35"/>
      <c r="F127" s="35"/>
      <c r="G127" s="104"/>
      <c r="H127" s="35"/>
      <c r="I127" s="35"/>
      <c r="J127" s="104"/>
      <c r="K127" s="104"/>
      <c r="L127" s="104"/>
      <c r="M127" s="35"/>
      <c r="N127" s="104"/>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row>
    <row r="128" spans="1:43" s="12" customFormat="1" x14ac:dyDescent="0.2">
      <c r="A128" s="84"/>
      <c r="B128" s="84"/>
      <c r="C128" s="84"/>
      <c r="D128" s="35"/>
      <c r="E128" s="35"/>
      <c r="F128" s="35"/>
      <c r="G128" s="104"/>
      <c r="H128" s="35"/>
      <c r="I128" s="35"/>
      <c r="J128" s="104"/>
      <c r="K128" s="104"/>
      <c r="L128" s="104"/>
      <c r="M128" s="35"/>
      <c r="N128" s="104"/>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row>
    <row r="129" spans="1:43" s="12" customFormat="1" x14ac:dyDescent="0.2">
      <c r="A129" s="84"/>
      <c r="B129" s="84"/>
      <c r="C129" s="84"/>
      <c r="D129" s="35"/>
      <c r="E129" s="35"/>
      <c r="F129" s="35"/>
      <c r="G129" s="104"/>
      <c r="H129" s="35"/>
      <c r="I129" s="35"/>
      <c r="J129" s="104"/>
      <c r="K129" s="104"/>
      <c r="L129" s="104"/>
      <c r="M129" s="35"/>
      <c r="N129" s="104"/>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row>
    <row r="130" spans="1:43" s="12" customFormat="1" x14ac:dyDescent="0.2">
      <c r="A130" s="84"/>
      <c r="B130" s="84"/>
      <c r="C130" s="84"/>
      <c r="D130" s="35"/>
      <c r="E130" s="35"/>
      <c r="F130" s="35"/>
      <c r="G130" s="104"/>
      <c r="H130" s="35"/>
      <c r="I130" s="35"/>
      <c r="J130" s="104"/>
      <c r="K130" s="104"/>
      <c r="L130" s="104"/>
      <c r="M130" s="35"/>
      <c r="N130" s="104"/>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row>
    <row r="131" spans="1:43" s="12" customFormat="1" x14ac:dyDescent="0.2">
      <c r="A131" s="84"/>
      <c r="B131" s="84"/>
      <c r="C131" s="84"/>
      <c r="D131" s="35"/>
      <c r="E131" s="35"/>
      <c r="F131" s="35"/>
      <c r="G131" s="104"/>
      <c r="H131" s="35"/>
      <c r="I131" s="35"/>
      <c r="J131" s="104"/>
      <c r="K131" s="104"/>
      <c r="L131" s="104"/>
      <c r="M131" s="35"/>
      <c r="N131" s="104"/>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row>
    <row r="132" spans="1:43" s="12" customFormat="1" x14ac:dyDescent="0.2">
      <c r="A132" s="84"/>
      <c r="B132" s="84"/>
      <c r="C132" s="84"/>
      <c r="D132" s="35"/>
      <c r="E132" s="35"/>
      <c r="F132" s="35"/>
      <c r="G132" s="104"/>
      <c r="H132" s="35"/>
      <c r="I132" s="35"/>
      <c r="J132" s="104"/>
      <c r="K132" s="104"/>
      <c r="L132" s="104"/>
      <c r="M132" s="35"/>
      <c r="N132" s="104"/>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row>
    <row r="133" spans="1:43" s="12" customFormat="1" x14ac:dyDescent="0.2">
      <c r="A133" s="84"/>
      <c r="B133" s="84"/>
      <c r="C133" s="84"/>
      <c r="D133" s="35"/>
      <c r="E133" s="35"/>
      <c r="F133" s="35"/>
      <c r="G133" s="104"/>
      <c r="H133" s="35"/>
      <c r="I133" s="35"/>
      <c r="J133" s="104"/>
      <c r="K133" s="104"/>
      <c r="L133" s="104"/>
      <c r="M133" s="35"/>
      <c r="N133" s="104"/>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row>
    <row r="134" spans="1:43" s="12" customFormat="1" x14ac:dyDescent="0.2">
      <c r="A134" s="84"/>
      <c r="B134" s="84"/>
      <c r="C134" s="84"/>
      <c r="D134" s="35"/>
      <c r="E134" s="35"/>
      <c r="F134" s="35"/>
      <c r="G134" s="104"/>
      <c r="H134" s="35"/>
      <c r="I134" s="35"/>
      <c r="J134" s="104"/>
      <c r="K134" s="104"/>
      <c r="L134" s="104"/>
      <c r="M134" s="35"/>
      <c r="N134" s="104"/>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row>
    <row r="135" spans="1:43" s="12" customFormat="1" x14ac:dyDescent="0.2">
      <c r="A135" s="84"/>
      <c r="B135" s="84"/>
      <c r="C135" s="84"/>
      <c r="D135" s="35"/>
      <c r="E135" s="35"/>
      <c r="F135" s="35"/>
      <c r="G135" s="104"/>
      <c r="H135" s="35"/>
      <c r="I135" s="35"/>
      <c r="J135" s="104"/>
      <c r="K135" s="104"/>
      <c r="L135" s="104"/>
      <c r="M135" s="35"/>
      <c r="N135" s="104"/>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row>
    <row r="136" spans="1:43" s="12" customFormat="1" x14ac:dyDescent="0.2">
      <c r="A136" s="84"/>
      <c r="B136" s="84"/>
      <c r="C136" s="84"/>
      <c r="D136" s="35"/>
      <c r="E136" s="35"/>
      <c r="F136" s="35"/>
      <c r="G136" s="104"/>
      <c r="H136" s="35"/>
      <c r="I136" s="35"/>
      <c r="J136" s="104"/>
      <c r="K136" s="104"/>
      <c r="L136" s="104"/>
      <c r="M136" s="35"/>
      <c r="N136" s="104"/>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row>
    <row r="137" spans="1:43" s="12" customFormat="1" x14ac:dyDescent="0.2">
      <c r="A137" s="84"/>
      <c r="B137" s="84"/>
      <c r="C137" s="84"/>
      <c r="D137" s="35"/>
      <c r="E137" s="35"/>
      <c r="F137" s="35"/>
      <c r="G137" s="104"/>
      <c r="H137" s="35"/>
      <c r="I137" s="35"/>
      <c r="J137" s="104"/>
      <c r="K137" s="104"/>
      <c r="L137" s="104"/>
      <c r="M137" s="35"/>
      <c r="N137" s="104"/>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row>
    <row r="138" spans="1:43" s="12" customFormat="1" x14ac:dyDescent="0.2">
      <c r="A138" s="84"/>
      <c r="B138" s="84"/>
      <c r="C138" s="84"/>
      <c r="D138" s="35"/>
      <c r="E138" s="35"/>
      <c r="F138" s="35"/>
      <c r="G138" s="104"/>
      <c r="H138" s="35"/>
      <c r="I138" s="35"/>
      <c r="J138" s="104"/>
      <c r="K138" s="104"/>
      <c r="L138" s="104"/>
      <c r="M138" s="35"/>
      <c r="N138" s="104"/>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row>
    <row r="139" spans="1:43" s="12" customFormat="1" x14ac:dyDescent="0.2">
      <c r="A139" s="84"/>
      <c r="B139" s="84"/>
      <c r="C139" s="84"/>
      <c r="D139" s="35"/>
      <c r="E139" s="35"/>
      <c r="F139" s="35"/>
      <c r="G139" s="104"/>
      <c r="H139" s="35"/>
      <c r="I139" s="35"/>
      <c r="J139" s="104"/>
      <c r="K139" s="104"/>
      <c r="L139" s="104"/>
      <c r="M139" s="35"/>
      <c r="N139" s="104"/>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row>
    <row r="140" spans="1:43" s="12" customFormat="1" x14ac:dyDescent="0.2">
      <c r="A140" s="84"/>
      <c r="B140" s="84"/>
      <c r="C140" s="84"/>
      <c r="D140" s="35"/>
      <c r="E140" s="35"/>
      <c r="F140" s="35"/>
      <c r="G140" s="104"/>
      <c r="H140" s="35"/>
      <c r="I140" s="35"/>
      <c r="J140" s="104"/>
      <c r="K140" s="104"/>
      <c r="L140" s="104"/>
      <c r="M140" s="35"/>
      <c r="N140" s="104"/>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row>
    <row r="141" spans="1:43" s="12" customFormat="1" x14ac:dyDescent="0.2">
      <c r="A141" s="84"/>
      <c r="B141" s="84"/>
      <c r="C141" s="84"/>
      <c r="D141" s="35"/>
      <c r="E141" s="35"/>
      <c r="F141" s="35"/>
      <c r="G141" s="104"/>
      <c r="H141" s="35"/>
      <c r="I141" s="35"/>
      <c r="J141" s="104"/>
      <c r="K141" s="104"/>
      <c r="L141" s="104"/>
      <c r="M141" s="35"/>
      <c r="N141" s="104"/>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row>
    <row r="142" spans="1:43" s="12" customFormat="1" x14ac:dyDescent="0.2">
      <c r="A142" s="84"/>
      <c r="B142" s="84"/>
      <c r="C142" s="84"/>
      <c r="D142" s="35"/>
      <c r="E142" s="35"/>
      <c r="F142" s="35"/>
      <c r="G142" s="104"/>
      <c r="H142" s="35"/>
      <c r="I142" s="35"/>
      <c r="J142" s="104"/>
      <c r="K142" s="104"/>
      <c r="L142" s="104"/>
      <c r="M142" s="35"/>
      <c r="N142" s="104"/>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row>
    <row r="143" spans="1:43" s="12" customFormat="1" x14ac:dyDescent="0.2">
      <c r="A143" s="84"/>
      <c r="B143" s="84"/>
      <c r="C143" s="84"/>
      <c r="D143" s="35"/>
      <c r="E143" s="35"/>
      <c r="F143" s="35"/>
      <c r="G143" s="104"/>
      <c r="H143" s="35"/>
      <c r="I143" s="35"/>
      <c r="J143" s="104"/>
      <c r="K143" s="104"/>
      <c r="L143" s="104"/>
      <c r="M143" s="35"/>
      <c r="N143" s="104"/>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row>
    <row r="144" spans="1:43" s="12" customFormat="1" x14ac:dyDescent="0.2">
      <c r="A144" s="84"/>
      <c r="B144" s="84"/>
      <c r="C144" s="84"/>
      <c r="D144" s="35"/>
      <c r="E144" s="35"/>
      <c r="F144" s="35"/>
      <c r="G144" s="104"/>
      <c r="H144" s="35"/>
      <c r="I144" s="35"/>
      <c r="J144" s="104"/>
      <c r="K144" s="104"/>
      <c r="L144" s="104"/>
      <c r="M144" s="35"/>
      <c r="N144" s="104"/>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row>
    <row r="145" spans="1:43" s="12" customFormat="1" x14ac:dyDescent="0.2">
      <c r="A145" s="84"/>
      <c r="B145" s="84"/>
      <c r="C145" s="84"/>
      <c r="D145" s="35"/>
      <c r="E145" s="35"/>
      <c r="F145" s="35"/>
      <c r="G145" s="104"/>
      <c r="H145" s="35"/>
      <c r="I145" s="35"/>
      <c r="J145" s="104"/>
      <c r="K145" s="104"/>
      <c r="L145" s="104"/>
      <c r="M145" s="35"/>
      <c r="N145" s="104"/>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row>
    <row r="146" spans="1:43" s="12" customFormat="1" x14ac:dyDescent="0.2">
      <c r="A146" s="109"/>
      <c r="B146" s="109"/>
      <c r="C146" s="109"/>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row>
    <row r="147" spans="1:43" s="12" customFormat="1" ht="18" customHeight="1" x14ac:dyDescent="0.2"/>
    <row r="148" spans="1:43" s="12" customFormat="1" ht="21" hidden="1" customHeight="1" x14ac:dyDescent="0.2">
      <c r="A148" s="168" t="s">
        <v>82</v>
      </c>
      <c r="B148" s="169"/>
      <c r="C148" s="169"/>
      <c r="D148" s="169"/>
      <c r="E148" s="169"/>
      <c r="F148" s="169"/>
      <c r="G148" s="169"/>
      <c r="H148" s="169"/>
      <c r="I148" s="169"/>
      <c r="J148" s="169"/>
      <c r="K148" s="169"/>
      <c r="L148" s="169"/>
      <c r="M148" s="170"/>
    </row>
    <row r="149" spans="1:43" s="12" customFormat="1" ht="18" hidden="1" customHeight="1" x14ac:dyDescent="0.2">
      <c r="A149" s="13"/>
      <c r="B149" s="13"/>
      <c r="C149" s="13"/>
      <c r="D149" s="13"/>
      <c r="E149" s="13"/>
      <c r="F149" s="13"/>
      <c r="G149" s="13"/>
      <c r="H149" s="13"/>
      <c r="I149" s="13"/>
      <c r="J149" s="13"/>
      <c r="L149" s="13"/>
      <c r="M149" s="13"/>
    </row>
    <row r="150" spans="1:43" s="12" customFormat="1" ht="25.5" hidden="1" customHeight="1" x14ac:dyDescent="0.2">
      <c r="A150" s="13"/>
      <c r="B150" s="156" t="s">
        <v>83</v>
      </c>
      <c r="C150" s="156"/>
      <c r="D150" s="156"/>
      <c r="E150" s="156"/>
      <c r="F150" s="156"/>
      <c r="G150" s="156"/>
      <c r="H150" s="156"/>
      <c r="I150" s="156"/>
      <c r="J150" s="13"/>
      <c r="L150" s="13"/>
      <c r="M150" s="13"/>
      <c r="O150" s="174" t="s">
        <v>84</v>
      </c>
      <c r="P150" s="174"/>
    </row>
    <row r="151" spans="1:43" s="12" customFormat="1" ht="25.5" hidden="1" customHeight="1" x14ac:dyDescent="0.2">
      <c r="A151" s="76" t="s">
        <v>85</v>
      </c>
      <c r="B151" s="110" t="s">
        <v>233</v>
      </c>
      <c r="C151" s="56" t="s">
        <v>181</v>
      </c>
      <c r="D151" s="56" t="s">
        <v>182</v>
      </c>
      <c r="E151" s="56" t="s">
        <v>182</v>
      </c>
      <c r="F151" s="56" t="s">
        <v>202</v>
      </c>
      <c r="G151" s="56"/>
      <c r="H151" s="74" t="s">
        <v>86</v>
      </c>
      <c r="I151" s="74" t="s">
        <v>86</v>
      </c>
      <c r="J151" s="56" t="s">
        <v>70</v>
      </c>
      <c r="K151" s="56" t="s">
        <v>87</v>
      </c>
      <c r="L151" s="56" t="s">
        <v>88</v>
      </c>
      <c r="M151" s="56" t="s">
        <v>89</v>
      </c>
      <c r="O151" s="61" t="s">
        <v>90</v>
      </c>
      <c r="P151" s="61" t="s">
        <v>91</v>
      </c>
    </row>
    <row r="152" spans="1:43" s="12" customFormat="1" ht="25.5" hidden="1" customHeight="1" x14ac:dyDescent="0.2">
      <c r="A152" s="57" t="s">
        <v>92</v>
      </c>
      <c r="B152" s="58"/>
      <c r="C152" s="58"/>
      <c r="D152" s="58"/>
      <c r="E152" s="58"/>
      <c r="F152" s="58"/>
      <c r="G152" s="58"/>
      <c r="H152" s="58"/>
      <c r="I152" s="58"/>
      <c r="J152" s="28"/>
      <c r="K152" s="28"/>
      <c r="L152" s="58"/>
      <c r="M152" s="58"/>
      <c r="O152" s="62" t="str">
        <f>IF(COUNT(B152:I152)='ISM Klassifizierung'!$J$14,IF(SUMPRODUCT((B152:I152&gt;=3)*(B152:I152&lt;&gt;0)*1)&gt;0,'ISM Klassifizierung'!$J$14-SUMPRODUCT((B152:I152&gt;=3)*(B152:I152&lt;&gt;0)*1),"Nein"),"Nein")</f>
        <v>Nein</v>
      </c>
      <c r="P152" s="62" t="str">
        <f>IF(M152="","",VLOOKUP(M152,'ISM Klassifizierung'!$K$4:$L$11,2,FALSE))</f>
        <v/>
      </c>
    </row>
    <row r="153" spans="1:43" s="12" customFormat="1" ht="25.5" hidden="1" customHeight="1" x14ac:dyDescent="0.2">
      <c r="A153" s="57" t="s">
        <v>93</v>
      </c>
      <c r="B153" s="58"/>
      <c r="C153" s="58"/>
      <c r="D153" s="58"/>
      <c r="E153" s="58"/>
      <c r="F153" s="58"/>
      <c r="G153" s="58"/>
      <c r="H153" s="58"/>
      <c r="I153" s="58"/>
      <c r="J153" s="28"/>
      <c r="K153" s="28"/>
      <c r="L153" s="58"/>
      <c r="M153" s="58"/>
      <c r="O153" s="62" t="str">
        <f>IF(COUNT(B153:I153)='ISM Klassifizierung'!$J$14,IF(SUMPRODUCT((B153:I153&gt;=3)*(B153:I153&lt;&gt;0)*1)&gt;0,'ISM Klassifizierung'!$J$14-SUMPRODUCT((B153:I153&gt;=3)*(B153:I153&lt;&gt;0)*1),"Nein"),"Nein")</f>
        <v>Nein</v>
      </c>
      <c r="P153" s="62" t="str">
        <f>IF(M153="","",VLOOKUP(M153,'ISM Klassifizierung'!$K$4:$L$11,2,FALSE))</f>
        <v/>
      </c>
    </row>
    <row r="154" spans="1:43" s="12" customFormat="1" ht="25.5" hidden="1" customHeight="1" x14ac:dyDescent="0.2">
      <c r="A154" s="59" t="s">
        <v>94</v>
      </c>
      <c r="B154" s="58"/>
      <c r="C154" s="58"/>
      <c r="D154" s="58"/>
      <c r="E154" s="58"/>
      <c r="F154" s="58"/>
      <c r="G154" s="58"/>
      <c r="H154" s="58"/>
      <c r="I154" s="58"/>
      <c r="J154" s="28"/>
      <c r="K154" s="28"/>
      <c r="L154" s="58"/>
      <c r="M154" s="58"/>
      <c r="O154" s="62" t="str">
        <f>IF(COUNT(B154:I154)='ISM Klassifizierung'!$J$14,IF(SUMPRODUCT((B154:I154&gt;=3)*(B154:I154&lt;&gt;0)*1)&gt;0,'ISM Klassifizierung'!$J$14-SUMPRODUCT((B154:I154&gt;=3)*(B154:I154&lt;&gt;0)*1),"Nein"),"Nein")</f>
        <v>Nein</v>
      </c>
      <c r="P154" s="62" t="str">
        <f>IF(M154="","",VLOOKUP(M154,'ISM Klassifizierung'!$K$4:$L$11,2,FALSE))</f>
        <v/>
      </c>
    </row>
    <row r="155" spans="1:43" s="12" customFormat="1" ht="25.5" hidden="1" customHeight="1" x14ac:dyDescent="0.2">
      <c r="A155" s="59" t="s">
        <v>95</v>
      </c>
      <c r="B155" s="58"/>
      <c r="C155" s="58"/>
      <c r="D155" s="58"/>
      <c r="E155" s="58"/>
      <c r="F155" s="58"/>
      <c r="G155" s="58"/>
      <c r="H155" s="58"/>
      <c r="I155" s="58"/>
      <c r="J155" s="28"/>
      <c r="K155" s="28"/>
      <c r="L155" s="58"/>
      <c r="M155" s="58"/>
      <c r="O155" s="62" t="str">
        <f>IF(COUNT(B155:I155)='ISM Klassifizierung'!$J$14,IF(SUMPRODUCT((B155:I155&gt;=3)*(B155:I155&lt;&gt;0)*1)&gt;0,'ISM Klassifizierung'!$J$14-SUMPRODUCT((B155:I155&gt;=3)*(B155:I155&lt;&gt;0)*1),"Nein"),"Nein")</f>
        <v>Nein</v>
      </c>
      <c r="P155" s="62" t="str">
        <f>IF(M155="","",VLOOKUP(M155,'ISM Klassifizierung'!$K$4:$L$11,2,FALSE))</f>
        <v/>
      </c>
    </row>
    <row r="156" spans="1:43" s="12" customFormat="1" ht="25.5" hidden="1" customHeight="1" x14ac:dyDescent="0.2">
      <c r="A156" s="13"/>
      <c r="B156" s="13"/>
      <c r="C156" s="13"/>
      <c r="D156" s="13"/>
      <c r="E156" s="13"/>
      <c r="F156" s="13"/>
      <c r="G156" s="13"/>
      <c r="H156" s="13"/>
      <c r="I156" s="13"/>
      <c r="J156" s="13"/>
      <c r="L156" s="13"/>
      <c r="M156" s="13"/>
      <c r="O156" s="63" t="str">
        <f>IF(AND(O152="Nein",O153="Nein",O154="Nein",O155="Nein"),"",MIN(O152:P155))</f>
        <v/>
      </c>
      <c r="P156" s="64"/>
    </row>
    <row r="157" spans="1:43" s="12" customFormat="1" ht="25.5" hidden="1" customHeight="1" x14ac:dyDescent="0.2">
      <c r="A157" s="13"/>
      <c r="B157" s="13"/>
      <c r="C157" s="13"/>
      <c r="D157" s="13"/>
      <c r="E157" s="13"/>
      <c r="F157" s="13"/>
      <c r="G157" s="13"/>
      <c r="H157" s="13"/>
      <c r="I157" s="13"/>
      <c r="J157" s="13"/>
      <c r="K157" s="60" t="s">
        <v>96</v>
      </c>
      <c r="L157" s="56"/>
      <c r="M157" s="13"/>
    </row>
    <row r="158" spans="1:43" s="12" customFormat="1" hidden="1" x14ac:dyDescent="0.2"/>
    <row r="159" spans="1:43" s="12" customFormat="1" hidden="1" x14ac:dyDescent="0.2"/>
    <row r="160" spans="1:43" s="12" customFormat="1" hidden="1" x14ac:dyDescent="0.2"/>
    <row r="161" s="12" customFormat="1" hidden="1" x14ac:dyDescent="0.2"/>
    <row r="162" s="12" customFormat="1" hidden="1" x14ac:dyDescent="0.2"/>
    <row r="163" s="12" customFormat="1" hidden="1" x14ac:dyDescent="0.2"/>
    <row r="164" s="12" customFormat="1" hidden="1" x14ac:dyDescent="0.2"/>
    <row r="165" s="12" customFormat="1" hidden="1" x14ac:dyDescent="0.2"/>
    <row r="166" s="12" customFormat="1" hidden="1" x14ac:dyDescent="0.2"/>
    <row r="167" s="12" customFormat="1" hidden="1" x14ac:dyDescent="0.2"/>
    <row r="168" s="12" customFormat="1" hidden="1" x14ac:dyDescent="0.2"/>
    <row r="169" s="12" customFormat="1" hidden="1" x14ac:dyDescent="0.2"/>
    <row r="170" s="12" customFormat="1" hidden="1" x14ac:dyDescent="0.2"/>
    <row r="171" s="12" customFormat="1" hidden="1" x14ac:dyDescent="0.2"/>
    <row r="172" s="12" customFormat="1" hidden="1" x14ac:dyDescent="0.2"/>
    <row r="173" s="12" customFormat="1" hidden="1" x14ac:dyDescent="0.2"/>
    <row r="174" s="12" customFormat="1" hidden="1" x14ac:dyDescent="0.2"/>
    <row r="175" s="12" customFormat="1" hidden="1" x14ac:dyDescent="0.2"/>
    <row r="176" s="12" customFormat="1" hidden="1" x14ac:dyDescent="0.2"/>
    <row r="177" s="12" customFormat="1" hidden="1" x14ac:dyDescent="0.2"/>
    <row r="178" s="12" customFormat="1" hidden="1" x14ac:dyDescent="0.2"/>
    <row r="179" s="12" customFormat="1" hidden="1" x14ac:dyDescent="0.2"/>
    <row r="180" s="12" customFormat="1" hidden="1" x14ac:dyDescent="0.2"/>
    <row r="181" s="12" customFormat="1" hidden="1" x14ac:dyDescent="0.2"/>
    <row r="182" s="12" customFormat="1" hidden="1" x14ac:dyDescent="0.2"/>
    <row r="183" s="12" customFormat="1" hidden="1" x14ac:dyDescent="0.2"/>
    <row r="184" s="12" customFormat="1" hidden="1" x14ac:dyDescent="0.2"/>
    <row r="185" s="12" customFormat="1" hidden="1" x14ac:dyDescent="0.2"/>
    <row r="186" s="12" customFormat="1" hidden="1" x14ac:dyDescent="0.2"/>
    <row r="187" s="12" customFormat="1" hidden="1" x14ac:dyDescent="0.2"/>
    <row r="188" s="12" customFormat="1" hidden="1" x14ac:dyDescent="0.2"/>
    <row r="189" s="12" customFormat="1" hidden="1" x14ac:dyDescent="0.2"/>
    <row r="190" s="12" customFormat="1" hidden="1" x14ac:dyDescent="0.2"/>
    <row r="191" s="12" customFormat="1" hidden="1" x14ac:dyDescent="0.2"/>
    <row r="192" s="12" customFormat="1" hidden="1" x14ac:dyDescent="0.2"/>
    <row r="193" s="12" customFormat="1" hidden="1" x14ac:dyDescent="0.2"/>
    <row r="194" s="12" customFormat="1" hidden="1" x14ac:dyDescent="0.2"/>
    <row r="195" s="12" customFormat="1" hidden="1" x14ac:dyDescent="0.2"/>
    <row r="196" s="12" customFormat="1" hidden="1" x14ac:dyDescent="0.2"/>
    <row r="197" s="12" customFormat="1" hidden="1" x14ac:dyDescent="0.2"/>
    <row r="198" s="12" customFormat="1" hidden="1" x14ac:dyDescent="0.2"/>
    <row r="199" s="12" customFormat="1" hidden="1" x14ac:dyDescent="0.2"/>
    <row r="200" s="12" customFormat="1" hidden="1" x14ac:dyDescent="0.2"/>
    <row r="201" s="12" customFormat="1" hidden="1" x14ac:dyDescent="0.2"/>
    <row r="202" s="12" customFormat="1" hidden="1" x14ac:dyDescent="0.2"/>
    <row r="203" s="12" customFormat="1" hidden="1" x14ac:dyDescent="0.2"/>
    <row r="204" s="12" customFormat="1" hidden="1" x14ac:dyDescent="0.2"/>
    <row r="205" s="12" customFormat="1" hidden="1" x14ac:dyDescent="0.2"/>
    <row r="206" s="12" customFormat="1" hidden="1" x14ac:dyDescent="0.2"/>
    <row r="207" s="12" customFormat="1" hidden="1" x14ac:dyDescent="0.2"/>
    <row r="208" s="12" customFormat="1" hidden="1" x14ac:dyDescent="0.2"/>
    <row r="209" s="12" customFormat="1" hidden="1" x14ac:dyDescent="0.2"/>
    <row r="210" s="12" customFormat="1" hidden="1" x14ac:dyDescent="0.2"/>
    <row r="211" s="12" customFormat="1" hidden="1" x14ac:dyDescent="0.2"/>
    <row r="212" s="12" customFormat="1" hidden="1" x14ac:dyDescent="0.2"/>
    <row r="213" s="12" customFormat="1" hidden="1" x14ac:dyDescent="0.2"/>
    <row r="214" s="12" customFormat="1" hidden="1" x14ac:dyDescent="0.2"/>
    <row r="215" s="12" customFormat="1" hidden="1" x14ac:dyDescent="0.2"/>
    <row r="216" s="12" customFormat="1" hidden="1" x14ac:dyDescent="0.2"/>
    <row r="217" s="12" customFormat="1" hidden="1" x14ac:dyDescent="0.2"/>
    <row r="218" s="12" customFormat="1" hidden="1" x14ac:dyDescent="0.2"/>
    <row r="219" s="12" customFormat="1" hidden="1" x14ac:dyDescent="0.2"/>
    <row r="220" s="12" customFormat="1" hidden="1" x14ac:dyDescent="0.2"/>
    <row r="221" s="12" customFormat="1" hidden="1" x14ac:dyDescent="0.2"/>
    <row r="222" s="12" customFormat="1" hidden="1" x14ac:dyDescent="0.2"/>
    <row r="223" s="12" customFormat="1" hidden="1" x14ac:dyDescent="0.2"/>
    <row r="224" s="12" customFormat="1" hidden="1" x14ac:dyDescent="0.2"/>
    <row r="225" s="12" customFormat="1" hidden="1" x14ac:dyDescent="0.2"/>
  </sheetData>
  <mergeCells count="88">
    <mergeCell ref="A111:B111"/>
    <mergeCell ref="A148:M148"/>
    <mergeCell ref="B150:I150"/>
    <mergeCell ref="O150:P150"/>
    <mergeCell ref="E103:F103"/>
    <mergeCell ref="A105:B105"/>
    <mergeCell ref="A106:B106"/>
    <mergeCell ref="A108:B108"/>
    <mergeCell ref="A109:B109"/>
    <mergeCell ref="A110:B110"/>
    <mergeCell ref="E102:F102"/>
    <mergeCell ref="E91:F91"/>
    <mergeCell ref="E92:F92"/>
    <mergeCell ref="E93:F93"/>
    <mergeCell ref="E94:F94"/>
    <mergeCell ref="E95:F95"/>
    <mergeCell ref="E96:F96"/>
    <mergeCell ref="E97:F97"/>
    <mergeCell ref="E98:F98"/>
    <mergeCell ref="E99:F99"/>
    <mergeCell ref="E100:F100"/>
    <mergeCell ref="E101:F101"/>
    <mergeCell ref="E90:F90"/>
    <mergeCell ref="E79:F79"/>
    <mergeCell ref="E80:F80"/>
    <mergeCell ref="E81:F81"/>
    <mergeCell ref="E82:F82"/>
    <mergeCell ref="E83:F83"/>
    <mergeCell ref="E84:F84"/>
    <mergeCell ref="E85:F85"/>
    <mergeCell ref="E86:F86"/>
    <mergeCell ref="E87:F87"/>
    <mergeCell ref="E88:F88"/>
    <mergeCell ref="E89:F89"/>
    <mergeCell ref="E78:F78"/>
    <mergeCell ref="C71:E71"/>
    <mergeCell ref="G71:J71"/>
    <mergeCell ref="C72:E72"/>
    <mergeCell ref="G72:J72"/>
    <mergeCell ref="C73:E73"/>
    <mergeCell ref="G73:J73"/>
    <mergeCell ref="C74:E74"/>
    <mergeCell ref="G74:J74"/>
    <mergeCell ref="C75:E75"/>
    <mergeCell ref="G75:J75"/>
    <mergeCell ref="E77:F77"/>
    <mergeCell ref="C68:E68"/>
    <mergeCell ref="G68:J68"/>
    <mergeCell ref="C69:E69"/>
    <mergeCell ref="G69:J69"/>
    <mergeCell ref="C70:E70"/>
    <mergeCell ref="G70:J70"/>
    <mergeCell ref="C65:E65"/>
    <mergeCell ref="G65:J65"/>
    <mergeCell ref="C66:E66"/>
    <mergeCell ref="G66:J66"/>
    <mergeCell ref="C67:E67"/>
    <mergeCell ref="G67:J67"/>
    <mergeCell ref="C62:E62"/>
    <mergeCell ref="G62:J62"/>
    <mergeCell ref="C63:E63"/>
    <mergeCell ref="G63:J63"/>
    <mergeCell ref="C64:E64"/>
    <mergeCell ref="G64:J64"/>
    <mergeCell ref="C59:E59"/>
    <mergeCell ref="G59:J59"/>
    <mergeCell ref="C60:E60"/>
    <mergeCell ref="G60:J60"/>
    <mergeCell ref="C61:E61"/>
    <mergeCell ref="G61:J61"/>
    <mergeCell ref="C56:E56"/>
    <mergeCell ref="G56:J56"/>
    <mergeCell ref="C57:E57"/>
    <mergeCell ref="G57:J57"/>
    <mergeCell ref="C58:E58"/>
    <mergeCell ref="G58:J58"/>
    <mergeCell ref="B6:F6"/>
    <mergeCell ref="A9:J9"/>
    <mergeCell ref="A53:R53"/>
    <mergeCell ref="K54:R54"/>
    <mergeCell ref="C55:E55"/>
    <mergeCell ref="G55:J55"/>
    <mergeCell ref="B5:F5"/>
    <mergeCell ref="B1:E1"/>
    <mergeCell ref="J1:K1"/>
    <mergeCell ref="B2:F2"/>
    <mergeCell ref="B3:F3"/>
    <mergeCell ref="B4:F4"/>
  </mergeCells>
  <conditionalFormatting sqref="J13:J39 J44:J51">
    <cfRule type="expression" dxfId="317" priority="124">
      <formula>$B13="nein"</formula>
    </cfRule>
  </conditionalFormatting>
  <conditionalFormatting sqref="J12 C12:I51">
    <cfRule type="expression" dxfId="316" priority="123">
      <formula>$B12="nein"</formula>
    </cfRule>
  </conditionalFormatting>
  <conditionalFormatting sqref="C16:D51 F16:F51">
    <cfRule type="expression" dxfId="315" priority="122">
      <formula>$B16="nein"</formula>
    </cfRule>
  </conditionalFormatting>
  <conditionalFormatting sqref="J40:J43">
    <cfRule type="expression" dxfId="314" priority="121">
      <formula>$B40="nein"</formula>
    </cfRule>
  </conditionalFormatting>
  <conditionalFormatting sqref="G12:I51">
    <cfRule type="expression" dxfId="313" priority="120">
      <formula>$B12="nein"</formula>
    </cfRule>
  </conditionalFormatting>
  <conditionalFormatting sqref="E12:E51">
    <cfRule type="expression" dxfId="312" priority="119">
      <formula>$B12="nein"</formula>
    </cfRule>
  </conditionalFormatting>
  <conditionalFormatting sqref="O105:O107 O120:O146 O109">
    <cfRule type="expression" dxfId="311" priority="61">
      <formula>O$105=0</formula>
    </cfRule>
  </conditionalFormatting>
  <conditionalFormatting sqref="P105:P114 P119:P146 P116:P117">
    <cfRule type="expression" dxfId="310" priority="60">
      <formula>P$105=0</formula>
    </cfRule>
  </conditionalFormatting>
  <conditionalFormatting sqref="Q105:Q146">
    <cfRule type="expression" dxfId="309" priority="59">
      <formula>Q$105=0</formula>
    </cfRule>
  </conditionalFormatting>
  <conditionalFormatting sqref="R105:R146">
    <cfRule type="expression" dxfId="308" priority="58">
      <formula>R$105=0</formula>
    </cfRule>
  </conditionalFormatting>
  <conditionalFormatting sqref="S105:S146">
    <cfRule type="expression" dxfId="307" priority="57">
      <formula>S$105=0</formula>
    </cfRule>
  </conditionalFormatting>
  <conditionalFormatting sqref="T105:T146">
    <cfRule type="expression" dxfId="306" priority="56">
      <formula>T$105=0</formula>
    </cfRule>
  </conditionalFormatting>
  <conditionalFormatting sqref="U105:U146">
    <cfRule type="expression" dxfId="305" priority="55">
      <formula>U$105=0</formula>
    </cfRule>
  </conditionalFormatting>
  <conditionalFormatting sqref="V105:V146">
    <cfRule type="expression" dxfId="304" priority="54">
      <formula>V$105=0</formula>
    </cfRule>
  </conditionalFormatting>
  <conditionalFormatting sqref="W105:W146">
    <cfRule type="expression" dxfId="303" priority="53">
      <formula>W$105=0</formula>
    </cfRule>
  </conditionalFormatting>
  <conditionalFormatting sqref="X105:X146">
    <cfRule type="expression" dxfId="302" priority="52">
      <formula>X$105=0</formula>
    </cfRule>
  </conditionalFormatting>
  <conditionalFormatting sqref="Y105:Y146">
    <cfRule type="expression" dxfId="301" priority="51">
      <formula>Y$105=0</formula>
    </cfRule>
  </conditionalFormatting>
  <conditionalFormatting sqref="Z105:Z146">
    <cfRule type="expression" dxfId="300" priority="50">
      <formula>Z$105=0</formula>
    </cfRule>
  </conditionalFormatting>
  <conditionalFormatting sqref="AA105:AA146">
    <cfRule type="expression" dxfId="299" priority="49">
      <formula>AA$105=0</formula>
    </cfRule>
  </conditionalFormatting>
  <conditionalFormatting sqref="AB105:AB146">
    <cfRule type="expression" dxfId="298" priority="48">
      <formula>AB$105=0</formula>
    </cfRule>
  </conditionalFormatting>
  <conditionalFormatting sqref="AC105:AC146">
    <cfRule type="expression" dxfId="297" priority="47">
      <formula>AC$105=0</formula>
    </cfRule>
  </conditionalFormatting>
  <conditionalFormatting sqref="AD105:AD146">
    <cfRule type="expression" dxfId="296" priority="46">
      <formula>AD$105=0</formula>
    </cfRule>
  </conditionalFormatting>
  <conditionalFormatting sqref="F56:F75">
    <cfRule type="expression" dxfId="295" priority="23">
      <formula>$L$157="-"</formula>
    </cfRule>
    <cfRule type="expression" dxfId="294" priority="118">
      <formula>$B56="nein"</formula>
    </cfRule>
  </conditionalFormatting>
  <conditionalFormatting sqref="F56:F75">
    <cfRule type="expression" dxfId="293" priority="117">
      <formula>$B56="nein"</formula>
    </cfRule>
  </conditionalFormatting>
  <conditionalFormatting sqref="C78:C85">
    <cfRule type="expression" dxfId="292" priority="116">
      <formula>$B78="nein"</formula>
    </cfRule>
  </conditionalFormatting>
  <conditionalFormatting sqref="C78:C85">
    <cfRule type="expression" dxfId="291" priority="115">
      <formula>$B78="nein"</formula>
    </cfRule>
  </conditionalFormatting>
  <conditionalFormatting sqref="C86:C103">
    <cfRule type="expression" dxfId="290" priority="114">
      <formula>$B86="nein"</formula>
    </cfRule>
  </conditionalFormatting>
  <conditionalFormatting sqref="C86:C103">
    <cfRule type="expression" dxfId="289" priority="113">
      <formula>$B86="nein"</formula>
    </cfRule>
  </conditionalFormatting>
  <conditionalFormatting sqref="AE105:AE146">
    <cfRule type="expression" dxfId="288" priority="45">
      <formula>AE$105=0</formula>
    </cfRule>
  </conditionalFormatting>
  <conditionalFormatting sqref="AF105:AF146">
    <cfRule type="expression" dxfId="287" priority="44">
      <formula>AF$105=0</formula>
    </cfRule>
  </conditionalFormatting>
  <conditionalFormatting sqref="AG105:AG146">
    <cfRule type="expression" dxfId="286" priority="43">
      <formula>AG$105=0</formula>
    </cfRule>
  </conditionalFormatting>
  <conditionalFormatting sqref="AH105:AH146">
    <cfRule type="expression" dxfId="285" priority="42">
      <formula>AH$105=0</formula>
    </cfRule>
  </conditionalFormatting>
  <conditionalFormatting sqref="AI105:AI146">
    <cfRule type="expression" dxfId="284" priority="41">
      <formula>AI$105=0</formula>
    </cfRule>
  </conditionalFormatting>
  <conditionalFormatting sqref="AJ105:AJ146">
    <cfRule type="expression" dxfId="283" priority="40">
      <formula>AJ$105=0</formula>
    </cfRule>
  </conditionalFormatting>
  <conditionalFormatting sqref="AK105:AK146">
    <cfRule type="expression" dxfId="282" priority="39">
      <formula>AK$105=0</formula>
    </cfRule>
  </conditionalFormatting>
  <conditionalFormatting sqref="AL105:AL146">
    <cfRule type="expression" dxfId="281" priority="38">
      <formula>AL$105=0</formula>
    </cfRule>
  </conditionalFormatting>
  <conditionalFormatting sqref="AM105:AM146">
    <cfRule type="expression" dxfId="280" priority="37">
      <formula>AM$105=0</formula>
    </cfRule>
  </conditionalFormatting>
  <conditionalFormatting sqref="AN105:AN146">
    <cfRule type="expression" dxfId="279" priority="36">
      <formula>AN$105=0</formula>
    </cfRule>
  </conditionalFormatting>
  <conditionalFormatting sqref="AO105:AO146">
    <cfRule type="expression" dxfId="278" priority="35">
      <formula>AO$105=0</formula>
    </cfRule>
  </conditionalFormatting>
  <conditionalFormatting sqref="AP105:AP146">
    <cfRule type="expression" dxfId="277" priority="34">
      <formula>AP$105=0</formula>
    </cfRule>
  </conditionalFormatting>
  <conditionalFormatting sqref="AQ105:AQ146">
    <cfRule type="expression" dxfId="276" priority="33">
      <formula>AQ$105=0</formula>
    </cfRule>
  </conditionalFormatting>
  <conditionalFormatting sqref="O106:AQ107 O120:AQ146 P110:AQ114 O109:AQ109 P108:AQ108 P119:AQ119 Q118:AQ118 P116:AQ117 Q115:AQ115">
    <cfRule type="cellIs" dxfId="275" priority="32" operator="equal">
      <formula>"x"</formula>
    </cfRule>
  </conditionalFormatting>
  <conditionalFormatting sqref="O106:O107 O120:O146 O109">
    <cfRule type="expression" dxfId="274" priority="84" stopIfTrue="1">
      <formula>AND($A$23&lt;&gt;"",$B$23&lt;&gt;"ja")</formula>
    </cfRule>
  </conditionalFormatting>
  <conditionalFormatting sqref="P106:P114 P119:P146 P116:P117">
    <cfRule type="expression" dxfId="273" priority="85" stopIfTrue="1">
      <formula>AND($A$24&lt;&gt;"",$B$24&lt;&gt;"ja")</formula>
    </cfRule>
  </conditionalFormatting>
  <conditionalFormatting sqref="Q106:Q146">
    <cfRule type="expression" dxfId="272" priority="86" stopIfTrue="1">
      <formula>AND($A$25&lt;&gt;"",$B$25&lt;&gt;"ja")</formula>
    </cfRule>
  </conditionalFormatting>
  <conditionalFormatting sqref="R106:R146">
    <cfRule type="expression" dxfId="271" priority="87" stopIfTrue="1">
      <formula>AND($A$26&lt;&gt;"",$B$26&lt;&gt;"ja")</formula>
    </cfRule>
  </conditionalFormatting>
  <conditionalFormatting sqref="S106:S146">
    <cfRule type="expression" dxfId="270" priority="88" stopIfTrue="1">
      <formula>AND($A$27&lt;&gt;"",$B$27&lt;&gt;"ja")</formula>
    </cfRule>
  </conditionalFormatting>
  <conditionalFormatting sqref="T106:T146">
    <cfRule type="expression" dxfId="269" priority="89" stopIfTrue="1">
      <formula>AND($A$28&lt;&gt;"",$B$28&lt;&gt;"ja")</formula>
    </cfRule>
  </conditionalFormatting>
  <conditionalFormatting sqref="U106:U146">
    <cfRule type="expression" dxfId="268" priority="90" stopIfTrue="1">
      <formula>AND($A$29&lt;&gt;"",$B$29&lt;&gt;"ja")</formula>
    </cfRule>
  </conditionalFormatting>
  <conditionalFormatting sqref="V106:V146">
    <cfRule type="expression" dxfId="267" priority="91" stopIfTrue="1">
      <formula>AND($A$30&lt;&gt;"",$B$30&lt;&gt;"ja")</formula>
    </cfRule>
  </conditionalFormatting>
  <conditionalFormatting sqref="W106:W146">
    <cfRule type="expression" dxfId="266" priority="92" stopIfTrue="1">
      <formula>AND($A$31&lt;&gt;"",$B$31&lt;&gt;"ja")</formula>
    </cfRule>
  </conditionalFormatting>
  <conditionalFormatting sqref="X106:X146">
    <cfRule type="expression" dxfId="265" priority="93" stopIfTrue="1">
      <formula>AND($A$32&lt;&gt;"",$B$32&lt;&gt;"ja")</formula>
    </cfRule>
  </conditionalFormatting>
  <conditionalFormatting sqref="Y106:Y146">
    <cfRule type="expression" dxfId="264" priority="94" stopIfTrue="1">
      <formula>AND($A$33&lt;&gt;"",$B$33&lt;&gt;"ja")</formula>
    </cfRule>
  </conditionalFormatting>
  <conditionalFormatting sqref="Z106:Z146">
    <cfRule type="expression" dxfId="263" priority="95" stopIfTrue="1">
      <formula>AND($A$34&lt;&gt;"",$B$34&lt;&gt;"ja")</formula>
    </cfRule>
  </conditionalFormatting>
  <conditionalFormatting sqref="AA106:AA146">
    <cfRule type="expression" dxfId="262" priority="96" stopIfTrue="1">
      <formula>AND($A$35&lt;&gt;"",$B$35&lt;&gt;"ja")</formula>
    </cfRule>
  </conditionalFormatting>
  <conditionalFormatting sqref="AB106:AB146">
    <cfRule type="expression" dxfId="261" priority="97" stopIfTrue="1">
      <formula>AND($A$36&lt;&gt;"",$B$36&lt;&gt;"ja")</formula>
    </cfRule>
  </conditionalFormatting>
  <conditionalFormatting sqref="AC106:AC146">
    <cfRule type="expression" dxfId="260" priority="98" stopIfTrue="1">
      <formula>AND($A$37&lt;&gt;"",$B$37&lt;&gt;"ja")</formula>
    </cfRule>
  </conditionalFormatting>
  <conditionalFormatting sqref="AD106:AD146">
    <cfRule type="expression" dxfId="259" priority="99" stopIfTrue="1">
      <formula>AND($A$38&lt;&gt;"",$B$38&lt;&gt;"ja")</formula>
    </cfRule>
  </conditionalFormatting>
  <conditionalFormatting sqref="AE106:AE146">
    <cfRule type="expression" dxfId="258" priority="100" stopIfTrue="1">
      <formula>AND($A$39&lt;&gt;"",$B$39&lt;&gt;"ja")</formula>
    </cfRule>
  </conditionalFormatting>
  <conditionalFormatting sqref="AF106:AF146">
    <cfRule type="expression" dxfId="257" priority="101" stopIfTrue="1">
      <formula>AND($A$40&lt;&gt;"",$B$40&lt;&gt;"ja")</formula>
    </cfRule>
  </conditionalFormatting>
  <conditionalFormatting sqref="AG106:AG146">
    <cfRule type="expression" dxfId="256" priority="102" stopIfTrue="1">
      <formula>AND($A$41&lt;&gt;"",$B$41&lt;&gt;"ja")</formula>
    </cfRule>
  </conditionalFormatting>
  <conditionalFormatting sqref="AH106:AH146">
    <cfRule type="expression" dxfId="255" priority="103" stopIfTrue="1">
      <formula>AND($A$42&lt;&gt;"",$B$42&lt;&gt;"ja")</formula>
    </cfRule>
  </conditionalFormatting>
  <conditionalFormatting sqref="AI106:AI146">
    <cfRule type="expression" dxfId="254" priority="104" stopIfTrue="1">
      <formula>AND($A$43&lt;&gt;"",$B$43&lt;&gt;"ja")</formula>
    </cfRule>
  </conditionalFormatting>
  <conditionalFormatting sqref="AJ106:AJ146">
    <cfRule type="expression" dxfId="253" priority="105" stopIfTrue="1">
      <formula>AND($A$44&lt;&gt;"",$B$44&lt;&gt;"ja")</formula>
    </cfRule>
  </conditionalFormatting>
  <conditionalFormatting sqref="AK106:AK146">
    <cfRule type="expression" dxfId="252" priority="106" stopIfTrue="1">
      <formula>AND($A$45&lt;&gt;"",$B$45&lt;&gt;"ja")</formula>
    </cfRule>
  </conditionalFormatting>
  <conditionalFormatting sqref="AL106:AL146">
    <cfRule type="expression" dxfId="251" priority="107" stopIfTrue="1">
      <formula>AND($A$46&lt;&gt;"",$B$46&lt;&gt;"ja")</formula>
    </cfRule>
  </conditionalFormatting>
  <conditionalFormatting sqref="AM106:AM146">
    <cfRule type="expression" dxfId="250" priority="108" stopIfTrue="1">
      <formula>AND($A$47&lt;&gt;"",$B$47&lt;&gt;"ja")</formula>
    </cfRule>
  </conditionalFormatting>
  <conditionalFormatting sqref="AN106:AN146">
    <cfRule type="expression" dxfId="249" priority="109" stopIfTrue="1">
      <formula>AND($A$48&lt;&gt;"",$B$48&lt;&gt;"ja")</formula>
    </cfRule>
  </conditionalFormatting>
  <conditionalFormatting sqref="AO106:AO146">
    <cfRule type="expression" dxfId="248" priority="110" stopIfTrue="1">
      <formula>AND($A$49&lt;&gt;"",$B$49&lt;&gt;"ja")</formula>
    </cfRule>
  </conditionalFormatting>
  <conditionalFormatting sqref="AP106:AP146">
    <cfRule type="expression" dxfId="247" priority="111" stopIfTrue="1">
      <formula>AND($A$50&lt;&gt;"",$B$50&lt;&gt;"ja")</formula>
    </cfRule>
  </conditionalFormatting>
  <conditionalFormatting sqref="AQ106:AQ146">
    <cfRule type="expression" dxfId="246" priority="112" stopIfTrue="1">
      <formula>AND($A$51&lt;&gt;"",$B$51&lt;&gt;"ja")</formula>
    </cfRule>
  </conditionalFormatting>
  <conditionalFormatting sqref="K56:K75">
    <cfRule type="expression" dxfId="245" priority="31">
      <formula>$F56&lt;&gt;"Ja"</formula>
    </cfRule>
  </conditionalFormatting>
  <conditionalFormatting sqref="L56:L75">
    <cfRule type="expression" dxfId="244" priority="30">
      <formula>$F56&lt;&gt;"Ja"</formula>
    </cfRule>
  </conditionalFormatting>
  <conditionalFormatting sqref="M56:M75">
    <cfRule type="expression" dxfId="243" priority="29">
      <formula>$F56&lt;&gt;"Ja"</formula>
    </cfRule>
  </conditionalFormatting>
  <conditionalFormatting sqref="N56:N75">
    <cfRule type="expression" dxfId="242" priority="28">
      <formula>$F56&lt;&gt;"Ja"</formula>
    </cfRule>
  </conditionalFormatting>
  <conditionalFormatting sqref="O56:O75">
    <cfRule type="expression" dxfId="241" priority="27">
      <formula>$F56&lt;&gt;"Ja"</formula>
    </cfRule>
  </conditionalFormatting>
  <conditionalFormatting sqref="P56:P75">
    <cfRule type="expression" dxfId="240" priority="26">
      <formula>$F56&lt;&gt;"Ja"</formula>
    </cfRule>
  </conditionalFormatting>
  <conditionalFormatting sqref="Q56:Q75">
    <cfRule type="expression" dxfId="239" priority="25">
      <formula>$F56&lt;&gt;"Ja"</formula>
    </cfRule>
  </conditionalFormatting>
  <conditionalFormatting sqref="R56:R75">
    <cfRule type="expression" dxfId="238" priority="24">
      <formula>$F56&lt;&gt;"Ja"</formula>
    </cfRule>
  </conditionalFormatting>
  <conditionalFormatting sqref="C78:C103">
    <cfRule type="expression" dxfId="237" priority="22">
      <formula>$L$157="-"</formula>
    </cfRule>
  </conditionalFormatting>
  <conditionalFormatting sqref="C106:C146">
    <cfRule type="expression" dxfId="236" priority="21">
      <formula>$L$157="-"</formula>
    </cfRule>
  </conditionalFormatting>
  <conditionalFormatting sqref="H78:H91">
    <cfRule type="expression" dxfId="235" priority="20">
      <formula>$B78="nein"</formula>
    </cfRule>
  </conditionalFormatting>
  <conditionalFormatting sqref="H78:H91">
    <cfRule type="expression" dxfId="234" priority="19">
      <formula>$B78="nein"</formula>
    </cfRule>
  </conditionalFormatting>
  <conditionalFormatting sqref="H86:H103">
    <cfRule type="expression" dxfId="233" priority="18">
      <formula>$B86="nein"</formula>
    </cfRule>
  </conditionalFormatting>
  <conditionalFormatting sqref="H86:H103">
    <cfRule type="expression" dxfId="232" priority="17">
      <formula>$B86="nein"</formula>
    </cfRule>
  </conditionalFormatting>
  <conditionalFormatting sqref="H78:H103">
    <cfRule type="expression" dxfId="231" priority="16">
      <formula>$L$157="-"</formula>
    </cfRule>
  </conditionalFormatting>
  <conditionalFormatting sqref="C12:D12 F12:F37">
    <cfRule type="expression" dxfId="230" priority="15">
      <formula>$B12="nein"</formula>
    </cfRule>
  </conditionalFormatting>
  <conditionalFormatting sqref="C13">
    <cfRule type="expression" dxfId="229" priority="14">
      <formula>$B13="nein"</formula>
    </cfRule>
  </conditionalFormatting>
  <conditionalFormatting sqref="C15:C37">
    <cfRule type="expression" dxfId="228" priority="13">
      <formula>$B15="nein"</formula>
    </cfRule>
  </conditionalFormatting>
  <conditionalFormatting sqref="D13:D37">
    <cfRule type="expression" dxfId="227" priority="12">
      <formula>$B13="nein"</formula>
    </cfRule>
  </conditionalFormatting>
  <conditionalFormatting sqref="F105">
    <cfRule type="expression" dxfId="226" priority="11">
      <formula>F$105=0</formula>
    </cfRule>
  </conditionalFormatting>
  <conditionalFormatting sqref="G105">
    <cfRule type="expression" dxfId="225" priority="10">
      <formula>G$105=0</formula>
    </cfRule>
  </conditionalFormatting>
  <conditionalFormatting sqref="E105">
    <cfRule type="expression" dxfId="224" priority="9">
      <formula>E$105=0</formula>
    </cfRule>
  </conditionalFormatting>
  <conditionalFormatting sqref="D105">
    <cfRule type="expression" dxfId="223" priority="8">
      <formula>D$105=0</formula>
    </cfRule>
  </conditionalFormatting>
  <conditionalFormatting sqref="H105">
    <cfRule type="expression" dxfId="222" priority="7">
      <formula>H$105=0</formula>
    </cfRule>
  </conditionalFormatting>
  <conditionalFormatting sqref="I105">
    <cfRule type="expression" dxfId="221" priority="6">
      <formula>I$105=0</formula>
    </cfRule>
  </conditionalFormatting>
  <conditionalFormatting sqref="J105">
    <cfRule type="expression" dxfId="220" priority="5">
      <formula>J$105=0</formula>
    </cfRule>
  </conditionalFormatting>
  <conditionalFormatting sqref="K105">
    <cfRule type="expression" dxfId="219" priority="4">
      <formula>K$105=0</formula>
    </cfRule>
  </conditionalFormatting>
  <conditionalFormatting sqref="L105">
    <cfRule type="expression" dxfId="218" priority="3">
      <formula>L$105=0</formula>
    </cfRule>
  </conditionalFormatting>
  <conditionalFormatting sqref="M105">
    <cfRule type="expression" dxfId="217" priority="2">
      <formula>M$105=0</formula>
    </cfRule>
  </conditionalFormatting>
  <conditionalFormatting sqref="N105">
    <cfRule type="expression" dxfId="216" priority="1">
      <formula>N$105=0</formula>
    </cfRule>
  </conditionalFormatting>
  <dataValidations count="5">
    <dataValidation type="list" allowBlank="1" showInputMessage="1" showErrorMessage="1" sqref="H152:I155">
      <formula1>"1,2,3,4"</formula1>
    </dataValidation>
    <dataValidation type="list" allowBlank="1" showInputMessage="1" showErrorMessage="1" promptTitle="Mehrfachselektion möglich" prompt="Für Mehrfachselektion bitte nacheinander über Drop-Down Werte auswählen." sqref="D106:AQ146">
      <formula1>"x"</formula1>
    </dataValidation>
    <dataValidation type="list" allowBlank="1" showInputMessage="1" showErrorMessage="1" sqref="G78:G103 B56:B75 B12:B51 B78:B103">
      <formula1>"ja, nein"</formula1>
    </dataValidation>
    <dataValidation type="list" allowBlank="1" showErrorMessage="1" sqref="G12:G51">
      <formula1>"nicht personenbezogen, personenbezogen, besonders personenbezogen"</formula1>
    </dataValidation>
    <dataValidation type="list" allowBlank="1" showInputMessage="1" showErrorMessage="1" sqref="B152:G155">
      <formula1>"1,2,3"</formula1>
    </dataValidation>
  </dataValidations>
  <pageMargins left="0.7" right="0.7" top="0.78740157499999996" bottom="0.78740157499999996" header="0.3" footer="0.3"/>
  <pageSetup paperSize="9" scale="56" fitToHeight="0" orientation="landscape" r:id="rId1"/>
  <extLst>
    <ext xmlns:x14="http://schemas.microsoft.com/office/spreadsheetml/2009/9/main" uri="{CCE6A557-97BC-4b89-ADB6-D9C93CAAB3DF}">
      <x14:dataValidations xmlns:xm="http://schemas.microsoft.com/office/excel/2006/main" count="8">
        <x14:dataValidation type="list" allowBlank="1" showInputMessage="1">
          <x14:formula1>
            <xm:f>'Ressourcen DB'!$G$2:$G$3</xm:f>
          </x14:formula1>
          <xm:sqref>C106:C146</xm:sqref>
        </x14:dataValidation>
        <x14:dataValidation type="list" allowBlank="1" showInputMessage="1" showErrorMessage="1">
          <x14:formula1>
            <xm:f>'ISM Klassifizierung'!$K$4:$K$11</xm:f>
          </x14:formula1>
          <xm:sqref>M152:M155</xm:sqref>
        </x14:dataValidation>
        <x14:dataValidation type="list" allowBlank="1" showErrorMessage="1">
          <x14:formula1>
            <xm:f>'Ressourcen DB'!$G$2:$G$3</xm:f>
          </x14:formula1>
          <xm:sqref>C78:C103 F56:F75 I12:I51 H78:H103</xm:sqref>
        </x14:dataValidation>
        <x14:dataValidation type="list" allowBlank="1" showErrorMessage="1">
          <x14:formula1>
            <xm:f>'ISM Klassifizierung'!$I$4:$I$11</xm:f>
          </x14:formula1>
          <xm:sqref>H12:H51</xm:sqref>
        </x14:dataValidation>
        <x14:dataValidation type="list" allowBlank="1" showInputMessage="1" showErrorMessage="1">
          <x14:formula1>
            <xm:f>Allgemein!$I$43:$I$82</xm:f>
          </x14:formula1>
          <xm:sqref>C56:E75</xm:sqref>
        </x14:dataValidation>
        <x14:dataValidation type="list" allowBlank="1" showInputMessage="1" showErrorMessage="1">
          <x14:formula1>
            <xm:f>Allgemein!$L$43:$L$82</xm:f>
          </x14:formula1>
          <xm:sqref>G56:J75</xm:sqref>
        </x14:dataValidation>
        <x14:dataValidation type="list" allowBlank="1" showErrorMessage="1">
          <x14:formula1>
            <xm:f>'ISM Klassifizierung'!$B$10:$B$13</xm:f>
          </x14:formula1>
          <xm:sqref>C12:F51</xm:sqref>
        </x14:dataValidation>
        <x14:dataValidation type="list" allowBlank="1" showInputMessage="1">
          <x14:formula1>
            <xm:f>'Software Inventar'!$C$4:$C$128</xm:f>
          </x14:formula1>
          <xm:sqref>A106:B106 A108:B146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2">
    <tabColor rgb="FF148DEA"/>
    <pageSetUpPr fitToPage="1"/>
  </sheetPr>
  <dimension ref="A1:AQ225"/>
  <sheetViews>
    <sheetView showGridLines="0" zoomScale="120" zoomScaleNormal="120" workbookViewId="0">
      <pane xSplit="1" ySplit="11" topLeftCell="B19" activePane="bottomRight" state="frozen"/>
      <selection activeCell="F13" sqref="F13:H13"/>
      <selection pane="topRight" activeCell="F13" sqref="F13:H13"/>
      <selection pane="bottomLeft" activeCell="F13" sqref="F13:H13"/>
      <selection pane="bottomRight" activeCell="P115" sqref="P115:P118"/>
    </sheetView>
  </sheetViews>
  <sheetFormatPr baseColWidth="10" defaultColWidth="11.42578125" defaultRowHeight="12" zeroHeight="1" x14ac:dyDescent="0.2"/>
  <cols>
    <col min="1" max="1" width="36.28515625" style="13" bestFit="1" customWidth="1"/>
    <col min="2" max="4" width="13.28515625" style="13" customWidth="1"/>
    <col min="5" max="5" width="13.28515625" style="13" hidden="1" customWidth="1"/>
    <col min="6" max="6" width="13.28515625" style="13" customWidth="1"/>
    <col min="7" max="7" width="17.85546875" style="13" bestFit="1" customWidth="1"/>
    <col min="8" max="10" width="13.28515625" style="13" customWidth="1"/>
    <col min="11" max="11" width="13.28515625" style="12" customWidth="1"/>
    <col min="12" max="15" width="13.28515625" style="13" customWidth="1"/>
    <col min="16" max="16" width="13.85546875" style="13" customWidth="1"/>
    <col min="17" max="44" width="20" style="13" customWidth="1"/>
    <col min="45" max="16384" width="11.42578125" style="13"/>
  </cols>
  <sheetData>
    <row r="1" spans="1:11" s="12" customFormat="1" ht="68.25" customHeight="1" x14ac:dyDescent="0.35">
      <c r="B1" s="157" t="s">
        <v>367</v>
      </c>
      <c r="C1" s="157"/>
      <c r="D1" s="157"/>
      <c r="E1" s="157"/>
      <c r="F1" s="68"/>
      <c r="G1" s="68"/>
      <c r="H1" s="68"/>
      <c r="I1" s="68"/>
      <c r="J1" s="158"/>
      <c r="K1" s="158"/>
    </row>
    <row r="2" spans="1:11" s="12" customFormat="1" x14ac:dyDescent="0.2">
      <c r="A2" s="106"/>
      <c r="B2" s="159"/>
      <c r="C2" s="159"/>
      <c r="D2" s="159"/>
      <c r="E2" s="159"/>
      <c r="F2" s="159"/>
      <c r="G2" s="14"/>
      <c r="H2" s="14"/>
      <c r="I2" s="14"/>
      <c r="J2" s="14"/>
    </row>
    <row r="3" spans="1:11" s="12" customFormat="1" x14ac:dyDescent="0.2">
      <c r="A3" s="105" t="s">
        <v>228</v>
      </c>
      <c r="B3" s="160" t="s">
        <v>341</v>
      </c>
      <c r="C3" s="161"/>
      <c r="D3" s="161"/>
      <c r="E3" s="161"/>
      <c r="F3" s="162"/>
      <c r="G3" s="14"/>
      <c r="H3" s="14"/>
      <c r="I3" s="14"/>
      <c r="J3" s="14"/>
    </row>
    <row r="4" spans="1:11" s="12" customFormat="1" x14ac:dyDescent="0.2">
      <c r="A4" s="32" t="s">
        <v>59</v>
      </c>
      <c r="B4" s="160"/>
      <c r="C4" s="161"/>
      <c r="D4" s="161"/>
      <c r="E4" s="161"/>
      <c r="F4" s="162"/>
      <c r="G4" s="14"/>
      <c r="H4" s="14"/>
      <c r="I4" s="14"/>
      <c r="J4" s="14"/>
    </row>
    <row r="5" spans="1:11" s="12" customFormat="1" x14ac:dyDescent="0.2">
      <c r="A5" s="32" t="s">
        <v>60</v>
      </c>
      <c r="B5" s="166"/>
      <c r="C5" s="166"/>
      <c r="D5" s="166"/>
      <c r="E5" s="166"/>
      <c r="F5" s="166"/>
      <c r="G5" s="14"/>
      <c r="H5" s="14"/>
      <c r="I5" s="14"/>
    </row>
    <row r="6" spans="1:11" s="12" customFormat="1" x14ac:dyDescent="0.2">
      <c r="A6" s="32" t="s">
        <v>61</v>
      </c>
      <c r="B6" s="167"/>
      <c r="C6" s="166"/>
      <c r="D6" s="166"/>
      <c r="E6" s="166"/>
      <c r="F6" s="166"/>
      <c r="G6" s="14"/>
      <c r="H6" s="14"/>
      <c r="I6" s="14"/>
    </row>
    <row r="7" spans="1:11" s="12" customFormat="1" x14ac:dyDescent="0.2"/>
    <row r="8" spans="1:11" s="12" customFormat="1" x14ac:dyDescent="0.2"/>
    <row r="9" spans="1:11" s="12" customFormat="1" ht="17.25" customHeight="1" x14ac:dyDescent="0.2">
      <c r="A9" s="168" t="s">
        <v>62</v>
      </c>
      <c r="B9" s="169"/>
      <c r="C9" s="169"/>
      <c r="D9" s="169"/>
      <c r="E9" s="169"/>
      <c r="F9" s="169"/>
      <c r="G9" s="169"/>
      <c r="H9" s="169"/>
      <c r="I9" s="169"/>
      <c r="J9" s="170"/>
    </row>
    <row r="10" spans="1:11" s="12" customFormat="1" ht="18" customHeight="1" x14ac:dyDescent="0.2"/>
    <row r="11" spans="1:11" s="12" customFormat="1" ht="30.75" customHeight="1" x14ac:dyDescent="0.2">
      <c r="A11" s="74" t="s">
        <v>54</v>
      </c>
      <c r="B11" s="82" t="s">
        <v>63</v>
      </c>
      <c r="C11" s="74" t="s">
        <v>64</v>
      </c>
      <c r="D11" s="74" t="s">
        <v>65</v>
      </c>
      <c r="E11" s="103" t="s">
        <v>227</v>
      </c>
      <c r="F11" s="74" t="s">
        <v>67</v>
      </c>
      <c r="G11" s="74" t="s">
        <v>68</v>
      </c>
      <c r="H11" s="74"/>
      <c r="I11" s="74"/>
      <c r="J11" s="74" t="s">
        <v>70</v>
      </c>
    </row>
    <row r="12" spans="1:11" s="12" customFormat="1" x14ac:dyDescent="0.2">
      <c r="A12" s="15" t="str">
        <f>IF(Allgemein!C43=0,"",Allgemein!C43)</f>
        <v>Arbeitsergebnisse</v>
      </c>
      <c r="B12" s="28" t="s">
        <v>353</v>
      </c>
      <c r="C12" s="28"/>
      <c r="D12" s="28"/>
      <c r="E12" s="104"/>
      <c r="F12" s="28"/>
      <c r="G12" s="28"/>
      <c r="H12" s="28"/>
      <c r="I12" s="28"/>
      <c r="J12" s="83"/>
      <c r="K12" s="16"/>
    </row>
    <row r="13" spans="1:11" s="12" customFormat="1" ht="11.45" customHeight="1" x14ac:dyDescent="0.2">
      <c r="A13" s="15" t="str">
        <f>IF(Allgemein!C44=0,"",Allgemein!C44)</f>
        <v>Projektdokumentation</v>
      </c>
      <c r="B13" s="28" t="s">
        <v>343</v>
      </c>
      <c r="C13" s="28" t="s">
        <v>263</v>
      </c>
      <c r="D13" s="28" t="s">
        <v>263</v>
      </c>
      <c r="E13" s="104"/>
      <c r="F13" s="28" t="s">
        <v>262</v>
      </c>
      <c r="G13" s="28" t="s">
        <v>356</v>
      </c>
      <c r="H13" s="28"/>
      <c r="I13" s="28"/>
      <c r="J13" s="83"/>
      <c r="K13" s="16"/>
    </row>
    <row r="14" spans="1:11" s="12" customFormat="1" ht="24" x14ac:dyDescent="0.2">
      <c r="A14" s="15" t="str">
        <f>IF(Allgemein!C45=0,"",Allgemein!C45)</f>
        <v>IT-System- und Dokumentenmanagement</v>
      </c>
      <c r="B14" s="28" t="s">
        <v>343</v>
      </c>
      <c r="C14" s="28" t="s">
        <v>263</v>
      </c>
      <c r="D14" s="28" t="s">
        <v>263</v>
      </c>
      <c r="E14" s="104"/>
      <c r="F14" s="28" t="s">
        <v>262</v>
      </c>
      <c r="G14" s="28" t="s">
        <v>356</v>
      </c>
      <c r="H14" s="28"/>
      <c r="I14" s="28"/>
      <c r="J14" s="83"/>
      <c r="K14" s="16"/>
    </row>
    <row r="15" spans="1:11" s="12" customFormat="1" ht="24" x14ac:dyDescent="0.2">
      <c r="A15" s="15" t="str">
        <f>IF(Allgemein!C46=0,"",Allgemein!C46)</f>
        <v>Altprojektdatenbank</v>
      </c>
      <c r="B15" s="28" t="s">
        <v>343</v>
      </c>
      <c r="C15" s="28" t="s">
        <v>262</v>
      </c>
      <c r="D15" s="28" t="s">
        <v>262</v>
      </c>
      <c r="E15" s="104"/>
      <c r="F15" s="28" t="s">
        <v>262</v>
      </c>
      <c r="G15" s="28" t="s">
        <v>356</v>
      </c>
      <c r="H15" s="28"/>
      <c r="I15" s="28"/>
      <c r="J15" s="83"/>
      <c r="K15" s="16"/>
    </row>
    <row r="16" spans="1:11" s="12" customFormat="1" ht="24" x14ac:dyDescent="0.2">
      <c r="A16" s="15" t="str">
        <f>IF(Allgemein!C47=0,"",Allgemein!C47)</f>
        <v>Projektfeinplanung (Arbeitspakete - Git Tickets)</v>
      </c>
      <c r="B16" s="28" t="s">
        <v>343</v>
      </c>
      <c r="C16" s="28" t="s">
        <v>262</v>
      </c>
      <c r="D16" s="28" t="s">
        <v>262</v>
      </c>
      <c r="E16" s="104"/>
      <c r="F16" s="28" t="s">
        <v>262</v>
      </c>
      <c r="G16" s="28" t="s">
        <v>356</v>
      </c>
      <c r="H16" s="28"/>
      <c r="I16" s="28"/>
      <c r="J16" s="28"/>
      <c r="K16" s="16"/>
    </row>
    <row r="17" spans="1:11" s="12" customFormat="1" x14ac:dyDescent="0.2">
      <c r="A17" s="15" t="str">
        <f>IF(Allgemein!C48=0,"",Allgemein!C48)</f>
        <v>Projektgrobplanung</v>
      </c>
      <c r="B17" s="28" t="s">
        <v>353</v>
      </c>
      <c r="C17" s="28"/>
      <c r="D17" s="28"/>
      <c r="E17" s="104"/>
      <c r="F17" s="28"/>
      <c r="G17" s="28"/>
      <c r="H17" s="28"/>
      <c r="I17" s="28"/>
      <c r="J17" s="28"/>
      <c r="K17" s="16"/>
    </row>
    <row r="18" spans="1:11" s="12" customFormat="1" x14ac:dyDescent="0.2">
      <c r="A18" s="15" t="str">
        <f>IF(Allgemein!C49=0,"",Allgemein!C49)</f>
        <v>Rechnungsmanagement</v>
      </c>
      <c r="B18" s="28" t="s">
        <v>353</v>
      </c>
      <c r="C18" s="28"/>
      <c r="D18" s="28"/>
      <c r="E18" s="104"/>
      <c r="F18" s="28"/>
      <c r="G18" s="28"/>
      <c r="H18" s="28"/>
      <c r="I18" s="28"/>
      <c r="J18" s="28"/>
      <c r="K18" s="16"/>
    </row>
    <row r="19" spans="1:11" s="12" customFormat="1" ht="24" x14ac:dyDescent="0.2">
      <c r="A19" s="15" t="str">
        <f>IF(Allgemein!C50=0,"",Allgemein!C50)</f>
        <v>Projektbasierte Risikoanalyse</v>
      </c>
      <c r="B19" s="28" t="s">
        <v>343</v>
      </c>
      <c r="C19" s="28" t="s">
        <v>263</v>
      </c>
      <c r="D19" s="28" t="s">
        <v>263</v>
      </c>
      <c r="E19" s="104"/>
      <c r="F19" s="28" t="s">
        <v>262</v>
      </c>
      <c r="G19" s="28" t="s">
        <v>356</v>
      </c>
      <c r="H19" s="28"/>
      <c r="I19" s="28"/>
      <c r="J19" s="28"/>
      <c r="K19" s="16"/>
    </row>
    <row r="20" spans="1:11" s="12" customFormat="1" ht="24" x14ac:dyDescent="0.2">
      <c r="A20" s="15" t="str">
        <f>IF(Allgemein!C51=0,"",Allgemein!C51)</f>
        <v>Wiki Wissensdatenbank</v>
      </c>
      <c r="B20" s="28" t="s">
        <v>343</v>
      </c>
      <c r="C20" s="28" t="s">
        <v>263</v>
      </c>
      <c r="D20" s="28" t="s">
        <v>262</v>
      </c>
      <c r="E20" s="104"/>
      <c r="F20" s="28" t="s">
        <v>262</v>
      </c>
      <c r="G20" s="28" t="s">
        <v>356</v>
      </c>
      <c r="H20" s="28"/>
      <c r="I20" s="28"/>
      <c r="J20" s="28"/>
      <c r="K20" s="16"/>
    </row>
    <row r="21" spans="1:11" s="12" customFormat="1" x14ac:dyDescent="0.2">
      <c r="A21" s="15" t="str">
        <f>IF(Allgemein!C52=0,"",Allgemein!C52)</f>
        <v>Source Code</v>
      </c>
      <c r="B21" s="28" t="s">
        <v>353</v>
      </c>
      <c r="C21" s="28"/>
      <c r="D21" s="28"/>
      <c r="E21" s="104"/>
      <c r="F21" s="28"/>
      <c r="G21" s="28"/>
      <c r="H21" s="28"/>
      <c r="I21" s="28"/>
      <c r="J21" s="28"/>
      <c r="K21" s="16"/>
    </row>
    <row r="22" spans="1:11" s="12" customFormat="1" x14ac:dyDescent="0.2">
      <c r="A22" s="15" t="str">
        <f>IF(Allgemein!C53=0,"",Allgemein!C53)</f>
        <v>Missionsdaten</v>
      </c>
      <c r="B22" s="28" t="s">
        <v>343</v>
      </c>
      <c r="C22" s="28" t="s">
        <v>264</v>
      </c>
      <c r="D22" s="28" t="s">
        <v>263</v>
      </c>
      <c r="E22" s="104"/>
      <c r="F22" s="28" t="s">
        <v>263</v>
      </c>
      <c r="G22" s="28" t="s">
        <v>358</v>
      </c>
      <c r="H22" s="28"/>
      <c r="I22" s="28"/>
      <c r="J22" s="28"/>
      <c r="K22" s="16"/>
    </row>
    <row r="23" spans="1:11" s="12" customFormat="1" ht="24" x14ac:dyDescent="0.2">
      <c r="A23" s="15" t="str">
        <f>IF(Allgemein!C54=0,"",Allgemein!C54)</f>
        <v>Schlüsselmaterial Mission</v>
      </c>
      <c r="B23" s="28" t="s">
        <v>343</v>
      </c>
      <c r="C23" s="28" t="s">
        <v>264</v>
      </c>
      <c r="D23" s="28" t="s">
        <v>264</v>
      </c>
      <c r="E23" s="28" t="s">
        <v>264</v>
      </c>
      <c r="F23" s="28" t="s">
        <v>264</v>
      </c>
      <c r="G23" s="28" t="s">
        <v>356</v>
      </c>
      <c r="H23" s="28"/>
      <c r="I23" s="28"/>
      <c r="J23" s="28"/>
      <c r="K23" s="16"/>
    </row>
    <row r="24" spans="1:11" s="12" customFormat="1" x14ac:dyDescent="0.2">
      <c r="A24" s="15" t="str">
        <f>IF(Allgemein!C55=0,"",Allgemein!C55)</f>
        <v/>
      </c>
      <c r="B24" s="28"/>
      <c r="C24" s="28"/>
      <c r="D24" s="28"/>
      <c r="E24" s="104"/>
      <c r="F24" s="28"/>
      <c r="G24" s="28"/>
      <c r="H24" s="28"/>
      <c r="I24" s="28"/>
      <c r="J24" s="28"/>
      <c r="K24" s="16"/>
    </row>
    <row r="25" spans="1:11" s="12" customFormat="1" x14ac:dyDescent="0.2">
      <c r="A25" s="15" t="str">
        <f>IF(Allgemein!C56=0,"",Allgemein!C56)</f>
        <v/>
      </c>
      <c r="B25" s="28"/>
      <c r="C25" s="28"/>
      <c r="D25" s="28"/>
      <c r="E25" s="104"/>
      <c r="F25" s="28"/>
      <c r="G25" s="28"/>
      <c r="H25" s="28"/>
      <c r="I25" s="28"/>
      <c r="J25" s="28"/>
      <c r="K25" s="16"/>
    </row>
    <row r="26" spans="1:11" s="12" customFormat="1" x14ac:dyDescent="0.2">
      <c r="A26" s="15" t="str">
        <f>IF(Allgemein!C57=0,"",Allgemein!C57)</f>
        <v/>
      </c>
      <c r="B26" s="28"/>
      <c r="C26" s="28"/>
      <c r="D26" s="28"/>
      <c r="E26" s="104"/>
      <c r="F26" s="28"/>
      <c r="G26" s="28"/>
      <c r="H26" s="28"/>
      <c r="I26" s="28"/>
      <c r="J26" s="28"/>
      <c r="K26" s="16"/>
    </row>
    <row r="27" spans="1:11" s="12" customFormat="1" hidden="1" x14ac:dyDescent="0.2">
      <c r="A27" s="15" t="str">
        <f>IF(Allgemein!C58=0,"",Allgemein!C58)</f>
        <v/>
      </c>
      <c r="B27" s="28"/>
      <c r="C27" s="28"/>
      <c r="D27" s="28"/>
      <c r="E27" s="104"/>
      <c r="F27" s="28"/>
      <c r="G27" s="28"/>
      <c r="H27" s="28"/>
      <c r="I27" s="28"/>
      <c r="J27" s="28"/>
      <c r="K27" s="16"/>
    </row>
    <row r="28" spans="1:11" s="12" customFormat="1" hidden="1" x14ac:dyDescent="0.2">
      <c r="A28" s="15" t="str">
        <f>IF(Allgemein!C59=0,"",Allgemein!C59)</f>
        <v/>
      </c>
      <c r="B28" s="28"/>
      <c r="C28" s="28"/>
      <c r="D28" s="28"/>
      <c r="E28" s="104"/>
      <c r="F28" s="28"/>
      <c r="G28" s="28"/>
      <c r="H28" s="28"/>
      <c r="I28" s="28"/>
      <c r="J28" s="28"/>
      <c r="K28" s="16"/>
    </row>
    <row r="29" spans="1:11" s="12" customFormat="1" hidden="1" x14ac:dyDescent="0.2">
      <c r="A29" s="15" t="str">
        <f>IF(Allgemein!C60=0,"",Allgemein!C60)</f>
        <v/>
      </c>
      <c r="B29" s="28"/>
      <c r="C29" s="28"/>
      <c r="D29" s="28"/>
      <c r="E29" s="104"/>
      <c r="F29" s="28"/>
      <c r="G29" s="28"/>
      <c r="H29" s="28"/>
      <c r="I29" s="28"/>
      <c r="J29" s="28"/>
      <c r="K29" s="16"/>
    </row>
    <row r="30" spans="1:11" s="12" customFormat="1" hidden="1" x14ac:dyDescent="0.2">
      <c r="A30" s="15" t="str">
        <f>IF(Allgemein!C61=0,"",Allgemein!C61)</f>
        <v/>
      </c>
      <c r="B30" s="28"/>
      <c r="C30" s="28"/>
      <c r="D30" s="28"/>
      <c r="E30" s="104"/>
      <c r="F30" s="28"/>
      <c r="G30" s="28"/>
      <c r="H30" s="28"/>
      <c r="I30" s="28"/>
      <c r="J30" s="28"/>
      <c r="K30" s="16"/>
    </row>
    <row r="31" spans="1:11" s="12" customFormat="1" hidden="1" x14ac:dyDescent="0.2">
      <c r="A31" s="15" t="str">
        <f>IF(Allgemein!C62=0,"",Allgemein!C62)</f>
        <v/>
      </c>
      <c r="B31" s="28"/>
      <c r="C31" s="28"/>
      <c r="D31" s="28"/>
      <c r="E31" s="104"/>
      <c r="F31" s="28"/>
      <c r="G31" s="28"/>
      <c r="H31" s="28"/>
      <c r="I31" s="28"/>
      <c r="J31" s="28"/>
      <c r="K31" s="16"/>
    </row>
    <row r="32" spans="1:11" s="12" customFormat="1" hidden="1" x14ac:dyDescent="0.2">
      <c r="A32" s="15" t="str">
        <f>IF(Allgemein!C63=0,"",Allgemein!C63)</f>
        <v/>
      </c>
      <c r="B32" s="28"/>
      <c r="C32" s="28"/>
      <c r="D32" s="28"/>
      <c r="E32" s="104"/>
      <c r="F32" s="28"/>
      <c r="G32" s="28"/>
      <c r="H32" s="28"/>
      <c r="I32" s="28"/>
      <c r="J32" s="28"/>
      <c r="K32" s="16"/>
    </row>
    <row r="33" spans="1:11" s="12" customFormat="1" hidden="1" x14ac:dyDescent="0.2">
      <c r="A33" s="15" t="str">
        <f>IF(Allgemein!C64=0,"",Allgemein!C64)</f>
        <v/>
      </c>
      <c r="B33" s="28"/>
      <c r="C33" s="28"/>
      <c r="D33" s="28"/>
      <c r="E33" s="104"/>
      <c r="F33" s="28"/>
      <c r="G33" s="28"/>
      <c r="H33" s="28"/>
      <c r="I33" s="28"/>
      <c r="J33" s="28"/>
      <c r="K33" s="16"/>
    </row>
    <row r="34" spans="1:11" s="12" customFormat="1" hidden="1" x14ac:dyDescent="0.2">
      <c r="A34" s="15" t="str">
        <f>IF(Allgemein!C65=0,"",Allgemein!C65)</f>
        <v/>
      </c>
      <c r="B34" s="28"/>
      <c r="C34" s="28"/>
      <c r="D34" s="28"/>
      <c r="E34" s="104"/>
      <c r="F34" s="28"/>
      <c r="G34" s="28"/>
      <c r="H34" s="28"/>
      <c r="I34" s="28"/>
      <c r="J34" s="28"/>
      <c r="K34" s="16"/>
    </row>
    <row r="35" spans="1:11" s="12" customFormat="1" hidden="1" x14ac:dyDescent="0.2">
      <c r="A35" s="15" t="str">
        <f>IF(Allgemein!C66=0,"",Allgemein!C66)</f>
        <v/>
      </c>
      <c r="B35" s="28"/>
      <c r="C35" s="28"/>
      <c r="D35" s="28"/>
      <c r="E35" s="104"/>
      <c r="F35" s="28"/>
      <c r="G35" s="28"/>
      <c r="H35" s="28"/>
      <c r="I35" s="28"/>
      <c r="J35" s="28"/>
      <c r="K35" s="16"/>
    </row>
    <row r="36" spans="1:11" s="12" customFormat="1" ht="11.45" hidden="1" customHeight="1" x14ac:dyDescent="0.2">
      <c r="A36" s="15" t="str">
        <f>IF(Allgemein!C67=0,"",Allgemein!C67)</f>
        <v/>
      </c>
      <c r="B36" s="28"/>
      <c r="C36" s="28"/>
      <c r="D36" s="28"/>
      <c r="E36" s="104"/>
      <c r="F36" s="28"/>
      <c r="G36" s="28"/>
      <c r="H36" s="28"/>
      <c r="I36" s="28"/>
      <c r="J36" s="28"/>
      <c r="K36" s="16"/>
    </row>
    <row r="37" spans="1:11" s="12" customFormat="1" ht="11.45" hidden="1" customHeight="1" x14ac:dyDescent="0.2">
      <c r="A37" s="15" t="str">
        <f>IF(Allgemein!C68=0,"",Allgemein!C68)</f>
        <v/>
      </c>
      <c r="B37" s="28"/>
      <c r="C37" s="28"/>
      <c r="D37" s="28"/>
      <c r="E37" s="104"/>
      <c r="F37" s="28"/>
      <c r="G37" s="28"/>
      <c r="H37" s="28"/>
      <c r="I37" s="28"/>
      <c r="J37" s="28"/>
      <c r="K37" s="16"/>
    </row>
    <row r="38" spans="1:11" s="12" customFormat="1" hidden="1" x14ac:dyDescent="0.2">
      <c r="A38" s="15" t="str">
        <f>IF(Allgemein!C69=0,"",Allgemein!C69)</f>
        <v/>
      </c>
      <c r="B38" s="28"/>
      <c r="C38" s="28"/>
      <c r="D38" s="28"/>
      <c r="E38" s="104"/>
      <c r="F38" s="28"/>
      <c r="G38" s="28"/>
      <c r="H38" s="28"/>
      <c r="I38" s="28"/>
      <c r="J38" s="28"/>
    </row>
    <row r="39" spans="1:11" s="12" customFormat="1" hidden="1" x14ac:dyDescent="0.2">
      <c r="A39" s="15" t="str">
        <f>IF(Allgemein!C70=0,"",Allgemein!C70)</f>
        <v/>
      </c>
      <c r="B39" s="28"/>
      <c r="C39" s="28"/>
      <c r="D39" s="28"/>
      <c r="E39" s="104"/>
      <c r="F39" s="28"/>
      <c r="G39" s="28"/>
      <c r="H39" s="28"/>
      <c r="I39" s="28"/>
      <c r="J39" s="28"/>
    </row>
    <row r="40" spans="1:11" s="12" customFormat="1" hidden="1" x14ac:dyDescent="0.2">
      <c r="A40" s="15" t="str">
        <f>IF(Allgemein!C71=0,"",Allgemein!C71)</f>
        <v/>
      </c>
      <c r="B40" s="28"/>
      <c r="C40" s="28"/>
      <c r="D40" s="28"/>
      <c r="E40" s="104"/>
      <c r="F40" s="28"/>
      <c r="G40" s="28"/>
      <c r="H40" s="28"/>
      <c r="I40" s="28"/>
      <c r="J40" s="28"/>
    </row>
    <row r="41" spans="1:11" s="12" customFormat="1" ht="11.45" hidden="1" customHeight="1" x14ac:dyDescent="0.2">
      <c r="A41" s="15" t="str">
        <f>IF(Allgemein!C72=0,"",Allgemein!C72)</f>
        <v/>
      </c>
      <c r="B41" s="28"/>
      <c r="C41" s="28"/>
      <c r="D41" s="28"/>
      <c r="E41" s="104"/>
      <c r="F41" s="28"/>
      <c r="G41" s="28"/>
      <c r="H41" s="28"/>
      <c r="I41" s="28"/>
      <c r="J41" s="28"/>
    </row>
    <row r="42" spans="1:11" s="12" customFormat="1" ht="11.45" hidden="1" customHeight="1" x14ac:dyDescent="0.2">
      <c r="A42" s="15" t="str">
        <f>IF(Allgemein!C73=0,"",Allgemein!C73)</f>
        <v/>
      </c>
      <c r="B42" s="28"/>
      <c r="C42" s="28"/>
      <c r="D42" s="28"/>
      <c r="E42" s="104"/>
      <c r="F42" s="28"/>
      <c r="G42" s="28"/>
      <c r="H42" s="28"/>
      <c r="I42" s="28"/>
      <c r="J42" s="28"/>
    </row>
    <row r="43" spans="1:11" s="12" customFormat="1" ht="11.45" hidden="1" customHeight="1" x14ac:dyDescent="0.2">
      <c r="A43" s="15" t="str">
        <f>IF(Allgemein!C74=0,"",Allgemein!C74)</f>
        <v/>
      </c>
      <c r="B43" s="28"/>
      <c r="C43" s="28"/>
      <c r="D43" s="28"/>
      <c r="E43" s="104"/>
      <c r="F43" s="28"/>
      <c r="G43" s="28"/>
      <c r="H43" s="28"/>
      <c r="I43" s="28"/>
      <c r="J43" s="28"/>
    </row>
    <row r="44" spans="1:11" s="12" customFormat="1" ht="11.45" hidden="1" customHeight="1" x14ac:dyDescent="0.2">
      <c r="A44" s="15" t="str">
        <f>IF(Allgemein!C75=0,"",Allgemein!C75)</f>
        <v/>
      </c>
      <c r="B44" s="28"/>
      <c r="C44" s="28"/>
      <c r="D44" s="28"/>
      <c r="E44" s="104"/>
      <c r="F44" s="28"/>
      <c r="G44" s="28"/>
      <c r="H44" s="28"/>
      <c r="I44" s="28"/>
      <c r="J44" s="28"/>
    </row>
    <row r="45" spans="1:11" s="12" customFormat="1" ht="11.45" hidden="1" customHeight="1" x14ac:dyDescent="0.2">
      <c r="A45" s="15" t="str">
        <f>IF(Allgemein!C76=0,"",Allgemein!C76)</f>
        <v/>
      </c>
      <c r="B45" s="28"/>
      <c r="C45" s="28"/>
      <c r="D45" s="28"/>
      <c r="E45" s="104"/>
      <c r="F45" s="28"/>
      <c r="G45" s="28"/>
      <c r="H45" s="28"/>
      <c r="I45" s="28"/>
      <c r="J45" s="28"/>
    </row>
    <row r="46" spans="1:11" s="12" customFormat="1" ht="11.45" hidden="1" customHeight="1" x14ac:dyDescent="0.2">
      <c r="A46" s="15" t="str">
        <f>IF(Allgemein!C77=0,"",Allgemein!C77)</f>
        <v/>
      </c>
      <c r="B46" s="28"/>
      <c r="C46" s="28"/>
      <c r="D46" s="28"/>
      <c r="E46" s="104"/>
      <c r="F46" s="28"/>
      <c r="G46" s="28"/>
      <c r="H46" s="28"/>
      <c r="I46" s="28"/>
      <c r="J46" s="28"/>
    </row>
    <row r="47" spans="1:11" s="12" customFormat="1" ht="11.45" hidden="1" customHeight="1" x14ac:dyDescent="0.2">
      <c r="A47" s="15" t="str">
        <f>IF(Allgemein!C78=0,"",Allgemein!C78)</f>
        <v/>
      </c>
      <c r="B47" s="28"/>
      <c r="C47" s="28"/>
      <c r="D47" s="28"/>
      <c r="E47" s="104"/>
      <c r="F47" s="28"/>
      <c r="G47" s="28"/>
      <c r="H47" s="28"/>
      <c r="I47" s="28"/>
      <c r="J47" s="28"/>
    </row>
    <row r="48" spans="1:11" s="12" customFormat="1" ht="11.45" hidden="1" customHeight="1" x14ac:dyDescent="0.2">
      <c r="A48" s="15" t="str">
        <f>IF(Allgemein!C79=0,"",Allgemein!C79)</f>
        <v/>
      </c>
      <c r="B48" s="28"/>
      <c r="C48" s="28"/>
      <c r="D48" s="28"/>
      <c r="E48" s="104"/>
      <c r="F48" s="28"/>
      <c r="G48" s="28"/>
      <c r="H48" s="28"/>
      <c r="I48" s="28"/>
      <c r="J48" s="28"/>
    </row>
    <row r="49" spans="1:18" s="12" customFormat="1" ht="11.45" hidden="1" customHeight="1" x14ac:dyDescent="0.2">
      <c r="A49" s="15" t="str">
        <f>IF(Allgemein!C80=0,"",Allgemein!C80)</f>
        <v/>
      </c>
      <c r="B49" s="28"/>
      <c r="C49" s="28"/>
      <c r="D49" s="28"/>
      <c r="E49" s="104"/>
      <c r="F49" s="28"/>
      <c r="G49" s="28"/>
      <c r="H49" s="28"/>
      <c r="I49" s="28"/>
      <c r="J49" s="28"/>
    </row>
    <row r="50" spans="1:18" s="12" customFormat="1" ht="11.45" hidden="1" customHeight="1" x14ac:dyDescent="0.2">
      <c r="A50" s="15" t="str">
        <f>IF(Allgemein!C81=0,"",Allgemein!C81)</f>
        <v/>
      </c>
      <c r="B50" s="28"/>
      <c r="C50" s="28"/>
      <c r="D50" s="28"/>
      <c r="E50" s="104"/>
      <c r="F50" s="28"/>
      <c r="G50" s="28"/>
      <c r="H50" s="28"/>
      <c r="I50" s="28"/>
      <c r="J50" s="28"/>
    </row>
    <row r="51" spans="1:18" s="12" customFormat="1" ht="11.45" hidden="1" customHeight="1" x14ac:dyDescent="0.2">
      <c r="A51" s="15" t="str">
        <f>IF(Allgemein!C82=0,"",Allgemein!C82)</f>
        <v/>
      </c>
      <c r="B51" s="28"/>
      <c r="C51" s="28"/>
      <c r="D51" s="28"/>
      <c r="E51" s="104"/>
      <c r="F51" s="28"/>
      <c r="G51" s="28"/>
      <c r="H51" s="28"/>
      <c r="I51" s="28"/>
      <c r="J51" s="28"/>
    </row>
    <row r="52" spans="1:18" s="12" customFormat="1" x14ac:dyDescent="0.2"/>
    <row r="53" spans="1:18" s="12" customFormat="1" ht="18" customHeight="1" x14ac:dyDescent="0.2">
      <c r="A53" s="171" t="s">
        <v>76</v>
      </c>
      <c r="B53" s="171"/>
      <c r="C53" s="171"/>
      <c r="D53" s="171"/>
      <c r="E53" s="171"/>
      <c r="F53" s="171"/>
      <c r="G53" s="171"/>
      <c r="H53" s="171"/>
      <c r="I53" s="171"/>
      <c r="J53" s="171"/>
      <c r="K53" s="171"/>
      <c r="L53" s="171"/>
      <c r="M53" s="171"/>
      <c r="N53" s="171"/>
      <c r="O53" s="171"/>
      <c r="P53" s="171"/>
      <c r="Q53" s="171"/>
      <c r="R53" s="171"/>
    </row>
    <row r="54" spans="1:18" s="12" customFormat="1" ht="18" customHeight="1" x14ac:dyDescent="0.2">
      <c r="K54" s="172"/>
      <c r="L54" s="172"/>
      <c r="M54" s="172"/>
      <c r="N54" s="172"/>
      <c r="O54" s="172"/>
      <c r="P54" s="172"/>
      <c r="Q54" s="172"/>
      <c r="R54" s="172"/>
    </row>
    <row r="55" spans="1:18" s="12" customFormat="1" ht="24" hidden="1" x14ac:dyDescent="0.2">
      <c r="A55" s="74" t="s">
        <v>55</v>
      </c>
      <c r="B55" s="82" t="s">
        <v>63</v>
      </c>
      <c r="C55" s="153" t="s">
        <v>77</v>
      </c>
      <c r="D55" s="154"/>
      <c r="E55" s="155"/>
      <c r="F55" s="74"/>
      <c r="G55" s="153" t="s">
        <v>78</v>
      </c>
      <c r="H55" s="154"/>
      <c r="I55" s="154"/>
      <c r="J55" s="155"/>
      <c r="K55" s="74" t="str">
        <f>B151</f>
        <v>≤ 1 d</v>
      </c>
      <c r="L55" s="74" t="str">
        <f t="shared" ref="L55:R55" si="0">C151</f>
        <v>≤ 3 d</v>
      </c>
      <c r="M55" s="74" t="str">
        <f t="shared" si="0"/>
        <v>≤ 7 d</v>
      </c>
      <c r="N55" s="74" t="str">
        <f t="shared" si="0"/>
        <v>≤ 7 d</v>
      </c>
      <c r="O55" s="74" t="str">
        <f t="shared" si="0"/>
        <v>≤ 14 d</v>
      </c>
      <c r="P55" s="74">
        <f t="shared" si="0"/>
        <v>0</v>
      </c>
      <c r="Q55" s="74" t="str">
        <f t="shared" si="0"/>
        <v/>
      </c>
      <c r="R55" s="74" t="str">
        <f t="shared" si="0"/>
        <v/>
      </c>
    </row>
    <row r="56" spans="1:18" s="12" customFormat="1" hidden="1" x14ac:dyDescent="0.2">
      <c r="A56" s="15" t="str">
        <f>IF(Allgemein!F43=0,"",Allgemein!F43)</f>
        <v>Technische Universität Berlin</v>
      </c>
      <c r="B56" s="28"/>
      <c r="C56" s="163"/>
      <c r="D56" s="164"/>
      <c r="E56" s="165"/>
      <c r="F56" s="28"/>
      <c r="G56" s="163"/>
      <c r="H56" s="164"/>
      <c r="I56" s="164"/>
      <c r="J56" s="165"/>
      <c r="K56" s="77"/>
      <c r="L56" s="77"/>
      <c r="M56" s="77"/>
      <c r="N56" s="77"/>
      <c r="O56" s="77"/>
      <c r="P56" s="77"/>
      <c r="Q56" s="77"/>
      <c r="R56" s="77"/>
    </row>
    <row r="57" spans="1:18" s="12" customFormat="1" ht="12" hidden="1" customHeight="1" x14ac:dyDescent="0.2">
      <c r="A57" s="15" t="str">
        <f>IF(Allgemein!F44=0,"",Allgemein!F44)</f>
        <v>Deutsches Luft- und Raumfahrtzentrum</v>
      </c>
      <c r="B57" s="28"/>
      <c r="C57" s="163"/>
      <c r="D57" s="164"/>
      <c r="E57" s="165"/>
      <c r="F57" s="28"/>
      <c r="G57" s="163"/>
      <c r="H57" s="164"/>
      <c r="I57" s="164"/>
      <c r="J57" s="165"/>
      <c r="K57" s="77"/>
      <c r="L57" s="77"/>
      <c r="M57" s="77"/>
      <c r="N57" s="77"/>
      <c r="O57" s="77"/>
      <c r="P57" s="77"/>
      <c r="Q57" s="77"/>
      <c r="R57" s="77"/>
    </row>
    <row r="58" spans="1:18" s="12" customFormat="1" ht="24" hidden="1" x14ac:dyDescent="0.2">
      <c r="A58" s="15" t="str">
        <f>IF(Allgemein!F45=0,"",Allgemein!F45)</f>
        <v>Deutsches Zentrum für Satelliten-Kommunikation</v>
      </c>
      <c r="B58" s="28"/>
      <c r="C58" s="163"/>
      <c r="D58" s="164"/>
      <c r="E58" s="165"/>
      <c r="F58" s="28"/>
      <c r="G58" s="163"/>
      <c r="H58" s="164"/>
      <c r="I58" s="164"/>
      <c r="J58" s="165"/>
      <c r="K58" s="77"/>
      <c r="L58" s="77"/>
      <c r="M58" s="77"/>
      <c r="N58" s="77"/>
      <c r="O58" s="77"/>
      <c r="P58" s="77"/>
      <c r="Q58" s="77"/>
      <c r="R58" s="77"/>
    </row>
    <row r="59" spans="1:18" s="12" customFormat="1" hidden="1" x14ac:dyDescent="0.2">
      <c r="A59" s="15" t="str">
        <f>IF(Allgemein!F46=0,"",Allgemein!F46)</f>
        <v>bdew/Vattenfall</v>
      </c>
      <c r="B59" s="28"/>
      <c r="C59" s="163"/>
      <c r="D59" s="164"/>
      <c r="E59" s="165"/>
      <c r="F59" s="28"/>
      <c r="G59" s="163"/>
      <c r="H59" s="164"/>
      <c r="I59" s="164"/>
      <c r="J59" s="165"/>
      <c r="K59" s="77"/>
      <c r="L59" s="77"/>
      <c r="M59" s="77"/>
      <c r="N59" s="77"/>
      <c r="O59" s="77"/>
      <c r="P59" s="77"/>
      <c r="Q59" s="77"/>
      <c r="R59" s="77"/>
    </row>
    <row r="60" spans="1:18" s="12" customFormat="1" ht="12" hidden="1" customHeight="1" x14ac:dyDescent="0.2">
      <c r="A60" s="15" t="str">
        <f>IF(Allgemein!F47=0,"",Allgemein!F47)</f>
        <v>Ruhr-Universität Bochum</v>
      </c>
      <c r="B60" s="28"/>
      <c r="C60" s="163"/>
      <c r="D60" s="164"/>
      <c r="E60" s="165"/>
      <c r="F60" s="28"/>
      <c r="G60" s="163"/>
      <c r="H60" s="164"/>
      <c r="I60" s="164"/>
      <c r="J60" s="165"/>
      <c r="K60" s="77"/>
      <c r="L60" s="77"/>
      <c r="M60" s="77"/>
      <c r="N60" s="77"/>
      <c r="O60" s="77"/>
      <c r="P60" s="77"/>
      <c r="Q60" s="77"/>
      <c r="R60" s="77"/>
    </row>
    <row r="61" spans="1:18" s="12" customFormat="1" hidden="1" x14ac:dyDescent="0.2">
      <c r="A61" s="15" t="str">
        <f>IF(Allgemein!F48=0,"",Allgemein!F48)</f>
        <v>QuantiCor</v>
      </c>
      <c r="B61" s="28"/>
      <c r="C61" s="163"/>
      <c r="D61" s="164"/>
      <c r="E61" s="165"/>
      <c r="F61" s="28"/>
      <c r="G61" s="163"/>
      <c r="H61" s="164"/>
      <c r="I61" s="164"/>
      <c r="J61" s="165"/>
      <c r="K61" s="77"/>
      <c r="L61" s="77"/>
      <c r="M61" s="77"/>
      <c r="N61" s="77"/>
      <c r="O61" s="77"/>
      <c r="P61" s="77"/>
      <c r="Q61" s="77"/>
      <c r="R61" s="77"/>
    </row>
    <row r="62" spans="1:18" s="12" customFormat="1" hidden="1" x14ac:dyDescent="0.2">
      <c r="A62" s="15" t="str">
        <f>IF(Allgemein!F49=0,"",Allgemein!F49)</f>
        <v>Berlin Nanosatellite Alliance</v>
      </c>
      <c r="B62" s="28"/>
      <c r="C62" s="163"/>
      <c r="D62" s="164"/>
      <c r="E62" s="165"/>
      <c r="F62" s="28"/>
      <c r="G62" s="163"/>
      <c r="H62" s="164"/>
      <c r="I62" s="164"/>
      <c r="J62" s="165"/>
      <c r="K62" s="77"/>
      <c r="L62" s="77"/>
      <c r="M62" s="77"/>
      <c r="N62" s="77"/>
      <c r="O62" s="77"/>
      <c r="P62" s="77"/>
      <c r="Q62" s="77"/>
      <c r="R62" s="77"/>
    </row>
    <row r="63" spans="1:18" s="12" customFormat="1" ht="12" hidden="1" customHeight="1" x14ac:dyDescent="0.2">
      <c r="A63" s="15" t="str">
        <f>IF(Allgemein!F50=0,"",Allgemein!F50)</f>
        <v/>
      </c>
      <c r="B63" s="28"/>
      <c r="C63" s="163"/>
      <c r="D63" s="164"/>
      <c r="E63" s="165"/>
      <c r="F63" s="28"/>
      <c r="G63" s="163"/>
      <c r="H63" s="164"/>
      <c r="I63" s="164"/>
      <c r="J63" s="165"/>
      <c r="K63" s="77"/>
      <c r="L63" s="77"/>
      <c r="M63" s="77"/>
      <c r="N63" s="77"/>
      <c r="O63" s="77"/>
      <c r="P63" s="77"/>
      <c r="Q63" s="77"/>
      <c r="R63" s="77"/>
    </row>
    <row r="64" spans="1:18" s="12" customFormat="1" hidden="1" x14ac:dyDescent="0.2">
      <c r="A64" s="15" t="str">
        <f>IF(Allgemein!F51=0,"",Allgemein!F51)</f>
        <v/>
      </c>
      <c r="B64" s="28"/>
      <c r="C64" s="163"/>
      <c r="D64" s="164"/>
      <c r="E64" s="165"/>
      <c r="F64" s="28"/>
      <c r="G64" s="163"/>
      <c r="H64" s="164"/>
      <c r="I64" s="164"/>
      <c r="J64" s="165"/>
      <c r="K64" s="77"/>
      <c r="L64" s="77"/>
      <c r="M64" s="77"/>
      <c r="N64" s="77"/>
      <c r="O64" s="77"/>
      <c r="P64" s="77"/>
      <c r="Q64" s="77"/>
      <c r="R64" s="77"/>
    </row>
    <row r="65" spans="1:18" s="12" customFormat="1" hidden="1" x14ac:dyDescent="0.2">
      <c r="A65" s="15" t="str">
        <f>IF(Allgemein!F52=0,"",Allgemein!F52)</f>
        <v/>
      </c>
      <c r="B65" s="28"/>
      <c r="C65" s="163"/>
      <c r="D65" s="164"/>
      <c r="E65" s="165"/>
      <c r="F65" s="28"/>
      <c r="G65" s="163"/>
      <c r="H65" s="164"/>
      <c r="I65" s="164"/>
      <c r="J65" s="165"/>
      <c r="K65" s="77"/>
      <c r="L65" s="77"/>
      <c r="M65" s="77"/>
      <c r="N65" s="77"/>
      <c r="O65" s="77"/>
      <c r="P65" s="77"/>
      <c r="Q65" s="77"/>
      <c r="R65" s="77"/>
    </row>
    <row r="66" spans="1:18" s="12" customFormat="1" hidden="1" x14ac:dyDescent="0.2">
      <c r="A66" s="15" t="str">
        <f>IF(Allgemein!F53=0,"",Allgemein!F53)</f>
        <v/>
      </c>
      <c r="B66" s="28"/>
      <c r="C66" s="163"/>
      <c r="D66" s="164"/>
      <c r="E66" s="165"/>
      <c r="F66" s="28"/>
      <c r="G66" s="163"/>
      <c r="H66" s="164"/>
      <c r="I66" s="164"/>
      <c r="J66" s="165"/>
      <c r="K66" s="77"/>
      <c r="L66" s="77"/>
      <c r="M66" s="77"/>
      <c r="N66" s="77"/>
      <c r="O66" s="77"/>
      <c r="P66" s="77"/>
      <c r="Q66" s="77"/>
      <c r="R66" s="77"/>
    </row>
    <row r="67" spans="1:18" s="12" customFormat="1" hidden="1" x14ac:dyDescent="0.2">
      <c r="A67" s="15" t="str">
        <f>IF(Allgemein!F54=0,"",Allgemein!F54)</f>
        <v/>
      </c>
      <c r="B67" s="28"/>
      <c r="C67" s="163"/>
      <c r="D67" s="164"/>
      <c r="E67" s="165"/>
      <c r="F67" s="28"/>
      <c r="G67" s="163"/>
      <c r="H67" s="164"/>
      <c r="I67" s="164"/>
      <c r="J67" s="165"/>
      <c r="K67" s="77"/>
      <c r="L67" s="77"/>
      <c r="M67" s="77"/>
      <c r="N67" s="77"/>
      <c r="O67" s="77"/>
      <c r="P67" s="77"/>
      <c r="Q67" s="77"/>
      <c r="R67" s="77"/>
    </row>
    <row r="68" spans="1:18" s="12" customFormat="1" hidden="1" x14ac:dyDescent="0.2">
      <c r="A68" s="15" t="str">
        <f>IF(Allgemein!F55=0,"",Allgemein!F55)</f>
        <v/>
      </c>
      <c r="B68" s="28"/>
      <c r="C68" s="163"/>
      <c r="D68" s="164"/>
      <c r="E68" s="165"/>
      <c r="F68" s="28"/>
      <c r="G68" s="163"/>
      <c r="H68" s="164"/>
      <c r="I68" s="164"/>
      <c r="J68" s="165"/>
      <c r="K68" s="77"/>
      <c r="L68" s="77"/>
      <c r="M68" s="77"/>
      <c r="N68" s="77"/>
      <c r="O68" s="77"/>
      <c r="P68" s="77"/>
      <c r="Q68" s="77"/>
      <c r="R68" s="77"/>
    </row>
    <row r="69" spans="1:18" s="12" customFormat="1" hidden="1" x14ac:dyDescent="0.2">
      <c r="A69" s="15" t="str">
        <f>IF(Allgemein!F56=0,"",Allgemein!F56)</f>
        <v/>
      </c>
      <c r="B69" s="28"/>
      <c r="C69" s="163"/>
      <c r="D69" s="164"/>
      <c r="E69" s="165"/>
      <c r="F69" s="28"/>
      <c r="G69" s="163"/>
      <c r="H69" s="164"/>
      <c r="I69" s="164"/>
      <c r="J69" s="165"/>
      <c r="K69" s="77"/>
      <c r="L69" s="77"/>
      <c r="M69" s="77"/>
      <c r="N69" s="77"/>
      <c r="O69" s="77"/>
      <c r="P69" s="77"/>
      <c r="Q69" s="77"/>
      <c r="R69" s="77"/>
    </row>
    <row r="70" spans="1:18" s="12" customFormat="1" hidden="1" x14ac:dyDescent="0.2">
      <c r="A70" s="15" t="str">
        <f>IF(Allgemein!F57=0,"",Allgemein!F57)</f>
        <v/>
      </c>
      <c r="B70" s="28"/>
      <c r="C70" s="163"/>
      <c r="D70" s="164"/>
      <c r="E70" s="165"/>
      <c r="F70" s="28"/>
      <c r="G70" s="163"/>
      <c r="H70" s="164"/>
      <c r="I70" s="164"/>
      <c r="J70" s="165"/>
      <c r="K70" s="77"/>
      <c r="L70" s="77"/>
      <c r="M70" s="77"/>
      <c r="N70" s="77"/>
      <c r="O70" s="77"/>
      <c r="P70" s="77"/>
      <c r="Q70" s="77"/>
      <c r="R70" s="77"/>
    </row>
    <row r="71" spans="1:18" s="12" customFormat="1" hidden="1" x14ac:dyDescent="0.2">
      <c r="A71" s="15" t="str">
        <f>IF(Allgemein!F58=0,"",Allgemein!F58)</f>
        <v/>
      </c>
      <c r="B71" s="28"/>
      <c r="C71" s="163"/>
      <c r="D71" s="164"/>
      <c r="E71" s="165"/>
      <c r="F71" s="28"/>
      <c r="G71" s="163"/>
      <c r="H71" s="164"/>
      <c r="I71" s="164"/>
      <c r="J71" s="165"/>
      <c r="K71" s="77"/>
      <c r="L71" s="77"/>
      <c r="M71" s="77"/>
      <c r="N71" s="77"/>
      <c r="O71" s="77"/>
      <c r="P71" s="77"/>
      <c r="Q71" s="77"/>
      <c r="R71" s="77"/>
    </row>
    <row r="72" spans="1:18" s="12" customFormat="1" hidden="1" x14ac:dyDescent="0.2">
      <c r="A72" s="15" t="str">
        <f>IF(Allgemein!F59=0,"",Allgemein!F59)</f>
        <v/>
      </c>
      <c r="B72" s="28"/>
      <c r="C72" s="163"/>
      <c r="D72" s="164"/>
      <c r="E72" s="165"/>
      <c r="F72" s="28"/>
      <c r="G72" s="163"/>
      <c r="H72" s="164"/>
      <c r="I72" s="164"/>
      <c r="J72" s="165"/>
      <c r="K72" s="77"/>
      <c r="L72" s="77"/>
      <c r="M72" s="77"/>
      <c r="N72" s="77"/>
      <c r="O72" s="77"/>
      <c r="P72" s="77"/>
      <c r="Q72" s="77"/>
      <c r="R72" s="77"/>
    </row>
    <row r="73" spans="1:18" s="12" customFormat="1" hidden="1" x14ac:dyDescent="0.2">
      <c r="A73" s="15" t="str">
        <f>IF(Allgemein!F60=0,"",Allgemein!F60)</f>
        <v/>
      </c>
      <c r="B73" s="28"/>
      <c r="C73" s="163"/>
      <c r="D73" s="164"/>
      <c r="E73" s="165"/>
      <c r="F73" s="28"/>
      <c r="G73" s="163"/>
      <c r="H73" s="164"/>
      <c r="I73" s="164"/>
      <c r="J73" s="165"/>
      <c r="K73" s="77"/>
      <c r="L73" s="77"/>
      <c r="M73" s="77"/>
      <c r="N73" s="77"/>
      <c r="O73" s="77"/>
      <c r="P73" s="77"/>
      <c r="Q73" s="77"/>
      <c r="R73" s="77"/>
    </row>
    <row r="74" spans="1:18" s="12" customFormat="1" hidden="1" x14ac:dyDescent="0.2">
      <c r="A74" s="15" t="str">
        <f>IF(Allgemein!F61=0,"",Allgemein!F61)</f>
        <v/>
      </c>
      <c r="B74" s="28"/>
      <c r="C74" s="163"/>
      <c r="D74" s="164"/>
      <c r="E74" s="165"/>
      <c r="F74" s="28"/>
      <c r="G74" s="163"/>
      <c r="H74" s="164"/>
      <c r="I74" s="164"/>
      <c r="J74" s="165"/>
      <c r="K74" s="77"/>
      <c r="L74" s="77"/>
      <c r="M74" s="77"/>
      <c r="N74" s="77"/>
      <c r="O74" s="77"/>
      <c r="P74" s="77"/>
      <c r="Q74" s="77"/>
      <c r="R74" s="77"/>
    </row>
    <row r="75" spans="1:18" s="12" customFormat="1" hidden="1" x14ac:dyDescent="0.2">
      <c r="A75" s="15" t="str">
        <f>IF(Allgemein!F62=0,"",Allgemein!F62)</f>
        <v/>
      </c>
      <c r="B75" s="28"/>
      <c r="C75" s="163"/>
      <c r="D75" s="164"/>
      <c r="E75" s="165"/>
      <c r="F75" s="28"/>
      <c r="G75" s="163"/>
      <c r="H75" s="164"/>
      <c r="I75" s="164"/>
      <c r="J75" s="165"/>
      <c r="K75" s="77"/>
      <c r="L75" s="77"/>
      <c r="M75" s="77"/>
      <c r="N75" s="77"/>
      <c r="O75" s="77"/>
      <c r="P75" s="77"/>
      <c r="Q75" s="77"/>
      <c r="R75" s="77"/>
    </row>
    <row r="76" spans="1:18" s="12" customFormat="1" hidden="1" x14ac:dyDescent="0.2"/>
    <row r="77" spans="1:18" s="12" customFormat="1" ht="24" hidden="1" customHeight="1" x14ac:dyDescent="0.2">
      <c r="A77" s="74" t="s">
        <v>58</v>
      </c>
      <c r="B77" s="82" t="s">
        <v>63</v>
      </c>
      <c r="C77" s="74" t="s">
        <v>69</v>
      </c>
      <c r="E77" s="153" t="s">
        <v>79</v>
      </c>
      <c r="F77" s="155"/>
      <c r="G77" s="74" t="s">
        <v>63</v>
      </c>
      <c r="H77" s="74" t="s">
        <v>69</v>
      </c>
    </row>
    <row r="78" spans="1:18" s="12" customFormat="1" hidden="1" x14ac:dyDescent="0.2">
      <c r="A78" s="22" t="str">
        <f>IF(Allgemein!P43=0,"",Allgemein!P43)</f>
        <v/>
      </c>
      <c r="B78" s="27"/>
      <c r="C78" s="28"/>
      <c r="E78" s="163" t="str">
        <f>IF(Allgemein!N43=0,"",Allgemein!N43)</f>
        <v>Mobiler Arbeitsplatz</v>
      </c>
      <c r="F78" s="165"/>
      <c r="G78" s="28"/>
      <c r="H78" s="28"/>
    </row>
    <row r="79" spans="1:18" s="12" customFormat="1" hidden="1" x14ac:dyDescent="0.2">
      <c r="A79" s="22" t="str">
        <f>IF(Allgemein!P44=0,"",Allgemein!P44)</f>
        <v/>
      </c>
      <c r="B79" s="27"/>
      <c r="C79" s="28"/>
      <c r="E79" s="163" t="str">
        <f>IF(Allgemein!N44=0,"",Allgemein!N44)</f>
        <v>Scanner (Dokument)</v>
      </c>
      <c r="F79" s="165"/>
      <c r="G79" s="28"/>
      <c r="H79" s="28"/>
    </row>
    <row r="80" spans="1:18" s="12" customFormat="1" ht="12" hidden="1" customHeight="1" x14ac:dyDescent="0.2">
      <c r="A80" s="22" t="str">
        <f>IF(Allgemein!P45=0,"",Allgemein!P45)</f>
        <v/>
      </c>
      <c r="B80" s="27"/>
      <c r="C80" s="28"/>
      <c r="E80" s="163" t="str">
        <f>IF(Allgemein!N45=0,"",Allgemein!N45)</f>
        <v>Drucker (normal)</v>
      </c>
      <c r="F80" s="165"/>
      <c r="G80" s="28"/>
      <c r="H80" s="28"/>
    </row>
    <row r="81" spans="1:8" s="12" customFormat="1" ht="12" hidden="1" customHeight="1" x14ac:dyDescent="0.2">
      <c r="A81" s="22" t="str">
        <f>IF(Allgemein!P46=0,"",Allgemein!P46)</f>
        <v/>
      </c>
      <c r="B81" s="27"/>
      <c r="C81" s="28"/>
      <c r="E81" s="163" t="str">
        <f>IF(Allgemein!N46=0,"",Allgemein!N46)</f>
        <v>Laptop</v>
      </c>
      <c r="F81" s="165"/>
      <c r="G81" s="28"/>
      <c r="H81" s="28"/>
    </row>
    <row r="82" spans="1:8" s="12" customFormat="1" ht="12" hidden="1" customHeight="1" x14ac:dyDescent="0.2">
      <c r="A82" s="22" t="str">
        <f>IF(Allgemein!P47=0,"",Allgemein!P47)</f>
        <v/>
      </c>
      <c r="B82" s="27"/>
      <c r="C82" s="28"/>
      <c r="E82" s="163" t="str">
        <f>IF(Allgemein!N47=0,"",Allgemein!N47)</f>
        <v>Router/Switch</v>
      </c>
      <c r="F82" s="165"/>
      <c r="G82" s="28"/>
      <c r="H82" s="28"/>
    </row>
    <row r="83" spans="1:8" s="12" customFormat="1" ht="12" hidden="1" customHeight="1" x14ac:dyDescent="0.2">
      <c r="A83" s="22" t="str">
        <f>IF(Allgemein!P48=0,"",Allgemein!P48)</f>
        <v/>
      </c>
      <c r="B83" s="27"/>
      <c r="C83" s="28"/>
      <c r="E83" s="163" t="str">
        <f>IF(Allgemein!N48=0,"",Allgemein!N48)</f>
        <v/>
      </c>
      <c r="F83" s="165"/>
      <c r="G83" s="28"/>
      <c r="H83" s="28"/>
    </row>
    <row r="84" spans="1:8" s="12" customFormat="1" hidden="1" x14ac:dyDescent="0.2">
      <c r="A84" s="22" t="str">
        <f>IF(Allgemein!P49=0,"",Allgemein!P49)</f>
        <v/>
      </c>
      <c r="B84" s="27"/>
      <c r="C84" s="28"/>
      <c r="E84" s="163" t="str">
        <f>IF(Allgemein!N49=0,"",Allgemein!N49)</f>
        <v/>
      </c>
      <c r="F84" s="165"/>
      <c r="G84" s="28"/>
      <c r="H84" s="28"/>
    </row>
    <row r="85" spans="1:8" s="12" customFormat="1" hidden="1" x14ac:dyDescent="0.2">
      <c r="A85" s="22" t="str">
        <f>IF(Allgemein!P50=0,"",Allgemein!P50)</f>
        <v/>
      </c>
      <c r="B85" s="27"/>
      <c r="C85" s="28"/>
      <c r="E85" s="163" t="str">
        <f>IF(Allgemein!N50=0,"",Allgemein!N50)</f>
        <v/>
      </c>
      <c r="F85" s="165"/>
      <c r="G85" s="28"/>
      <c r="H85" s="28"/>
    </row>
    <row r="86" spans="1:8" s="12" customFormat="1" hidden="1" x14ac:dyDescent="0.2">
      <c r="A86" s="22" t="str">
        <f>IF(Allgemein!P51=0,"",Allgemein!P51)</f>
        <v/>
      </c>
      <c r="B86" s="27"/>
      <c r="C86" s="28"/>
      <c r="E86" s="163" t="str">
        <f>IF(Allgemein!N51=0,"",Allgemein!N51)</f>
        <v/>
      </c>
      <c r="F86" s="165"/>
      <c r="G86" s="28"/>
      <c r="H86" s="28"/>
    </row>
    <row r="87" spans="1:8" s="12" customFormat="1" hidden="1" x14ac:dyDescent="0.2">
      <c r="A87" s="22" t="str">
        <f>IF(Allgemein!P52=0,"",Allgemein!P52)</f>
        <v/>
      </c>
      <c r="B87" s="27"/>
      <c r="C87" s="28"/>
      <c r="E87" s="163" t="str">
        <f>IF(Allgemein!N52=0,"",Allgemein!N52)</f>
        <v/>
      </c>
      <c r="F87" s="165"/>
      <c r="G87" s="28"/>
      <c r="H87" s="28"/>
    </row>
    <row r="88" spans="1:8" s="12" customFormat="1" hidden="1" x14ac:dyDescent="0.2">
      <c r="A88" s="22" t="str">
        <f>IF(Allgemein!P53=0,"",Allgemein!P53)</f>
        <v/>
      </c>
      <c r="B88" s="27"/>
      <c r="C88" s="28"/>
      <c r="E88" s="163" t="str">
        <f>IF(Allgemein!N53=0,"",Allgemein!N53)</f>
        <v/>
      </c>
      <c r="F88" s="165"/>
      <c r="G88" s="28"/>
      <c r="H88" s="28"/>
    </row>
    <row r="89" spans="1:8" s="12" customFormat="1" hidden="1" x14ac:dyDescent="0.2">
      <c r="A89" s="22" t="str">
        <f>IF(Allgemein!P54=0,"",Allgemein!P54)</f>
        <v/>
      </c>
      <c r="B89" s="27"/>
      <c r="C89" s="28"/>
      <c r="E89" s="163" t="str">
        <f>IF(Allgemein!N54=0,"",Allgemein!N54)</f>
        <v/>
      </c>
      <c r="F89" s="165"/>
      <c r="G89" s="28"/>
      <c r="H89" s="28"/>
    </row>
    <row r="90" spans="1:8" s="12" customFormat="1" hidden="1" x14ac:dyDescent="0.2">
      <c r="A90" s="22" t="str">
        <f>IF(Allgemein!P55=0,"",Allgemein!P55)</f>
        <v/>
      </c>
      <c r="B90" s="27"/>
      <c r="C90" s="28"/>
      <c r="E90" s="163" t="str">
        <f>IF(Allgemein!N55=0,"",Allgemein!N55)</f>
        <v/>
      </c>
      <c r="F90" s="165"/>
      <c r="G90" s="28"/>
      <c r="H90" s="28"/>
    </row>
    <row r="91" spans="1:8" s="12" customFormat="1" hidden="1" x14ac:dyDescent="0.2">
      <c r="A91" s="22" t="str">
        <f>IF(Allgemein!P56=0,"",Allgemein!P56)</f>
        <v/>
      </c>
      <c r="B91" s="27"/>
      <c r="C91" s="28"/>
      <c r="E91" s="163" t="str">
        <f>IF(Allgemein!N56=0,"",Allgemein!N56)</f>
        <v/>
      </c>
      <c r="F91" s="165"/>
      <c r="G91" s="28"/>
      <c r="H91" s="28"/>
    </row>
    <row r="92" spans="1:8" s="12" customFormat="1" hidden="1" x14ac:dyDescent="0.2">
      <c r="A92" s="22" t="str">
        <f>IF(Allgemein!P57=0,"",Allgemein!P57)</f>
        <v/>
      </c>
      <c r="B92" s="27"/>
      <c r="C92" s="28"/>
      <c r="E92" s="163" t="str">
        <f>IF(Allgemein!N57=0,"",Allgemein!N57)</f>
        <v/>
      </c>
      <c r="F92" s="165"/>
      <c r="G92" s="28"/>
      <c r="H92" s="28"/>
    </row>
    <row r="93" spans="1:8" s="12" customFormat="1" hidden="1" x14ac:dyDescent="0.2">
      <c r="A93" s="22" t="str">
        <f>IF(Allgemein!P58=0,"",Allgemein!P58)</f>
        <v/>
      </c>
      <c r="B93" s="27"/>
      <c r="C93" s="28"/>
      <c r="E93" s="163" t="str">
        <f>IF(Allgemein!N58=0,"",Allgemein!N58)</f>
        <v/>
      </c>
      <c r="F93" s="165"/>
      <c r="G93" s="28"/>
      <c r="H93" s="28"/>
    </row>
    <row r="94" spans="1:8" s="12" customFormat="1" hidden="1" x14ac:dyDescent="0.2">
      <c r="A94" s="22" t="str">
        <f>IF(Allgemein!P59=0,"",Allgemein!P59)</f>
        <v/>
      </c>
      <c r="B94" s="27"/>
      <c r="C94" s="28"/>
      <c r="E94" s="163" t="str">
        <f>IF(Allgemein!N59=0,"",Allgemein!N59)</f>
        <v/>
      </c>
      <c r="F94" s="165"/>
      <c r="G94" s="28"/>
      <c r="H94" s="28"/>
    </row>
    <row r="95" spans="1:8" s="12" customFormat="1" hidden="1" x14ac:dyDescent="0.2">
      <c r="A95" s="22" t="str">
        <f>IF(Allgemein!P60=0,"",Allgemein!P60)</f>
        <v/>
      </c>
      <c r="B95" s="27"/>
      <c r="C95" s="28"/>
      <c r="E95" s="163" t="str">
        <f>IF(Allgemein!N60=0,"",Allgemein!N60)</f>
        <v/>
      </c>
      <c r="F95" s="165"/>
      <c r="G95" s="28"/>
      <c r="H95" s="28"/>
    </row>
    <row r="96" spans="1:8" s="12" customFormat="1" hidden="1" x14ac:dyDescent="0.2">
      <c r="A96" s="22" t="str">
        <f>IF(Allgemein!P61=0,"",Allgemein!P61)</f>
        <v/>
      </c>
      <c r="B96" s="27"/>
      <c r="C96" s="28"/>
      <c r="E96" s="163" t="str">
        <f>IF(Allgemein!N61=0,"",Allgemein!N61)</f>
        <v/>
      </c>
      <c r="F96" s="165"/>
      <c r="G96" s="28"/>
      <c r="H96" s="28"/>
    </row>
    <row r="97" spans="1:43" s="12" customFormat="1" hidden="1" x14ac:dyDescent="0.2">
      <c r="A97" s="22" t="str">
        <f>IF(Allgemein!P62=0,"",Allgemein!P62)</f>
        <v/>
      </c>
      <c r="B97" s="27"/>
      <c r="C97" s="28"/>
      <c r="E97" s="163" t="str">
        <f>IF(Allgemein!N62=0,"",Allgemein!N62)</f>
        <v/>
      </c>
      <c r="F97" s="165"/>
      <c r="G97" s="28"/>
      <c r="H97" s="28"/>
    </row>
    <row r="98" spans="1:43" s="12" customFormat="1" hidden="1" x14ac:dyDescent="0.2">
      <c r="A98" s="22" t="str">
        <f>IF(Allgemein!P63=0,"",Allgemein!P63)</f>
        <v/>
      </c>
      <c r="B98" s="27"/>
      <c r="C98" s="28"/>
      <c r="E98" s="163" t="str">
        <f>IF(Allgemein!N63=0,"",Allgemein!N63)</f>
        <v/>
      </c>
      <c r="F98" s="165"/>
      <c r="G98" s="28"/>
      <c r="H98" s="28"/>
    </row>
    <row r="99" spans="1:43" s="12" customFormat="1" hidden="1" x14ac:dyDescent="0.2">
      <c r="A99" s="22" t="str">
        <f>IF(Allgemein!P64=0,"",Allgemein!P64)</f>
        <v/>
      </c>
      <c r="B99" s="27"/>
      <c r="C99" s="28"/>
      <c r="E99" s="163" t="str">
        <f>IF(Allgemein!N64=0,"",Allgemein!N64)</f>
        <v/>
      </c>
      <c r="F99" s="165"/>
      <c r="G99" s="28"/>
      <c r="H99" s="28"/>
    </row>
    <row r="100" spans="1:43" s="12" customFormat="1" hidden="1" x14ac:dyDescent="0.2">
      <c r="A100" s="22" t="str">
        <f>IF(Allgemein!P65=0,"",Allgemein!P65)</f>
        <v/>
      </c>
      <c r="B100" s="27"/>
      <c r="C100" s="28"/>
      <c r="E100" s="163" t="str">
        <f>IF(Allgemein!N65=0,"",Allgemein!N65)</f>
        <v/>
      </c>
      <c r="F100" s="165"/>
      <c r="G100" s="28"/>
      <c r="H100" s="28"/>
    </row>
    <row r="101" spans="1:43" s="12" customFormat="1" hidden="1" x14ac:dyDescent="0.2">
      <c r="A101" s="22" t="str">
        <f>IF(Allgemein!P66=0,"",Allgemein!P66)</f>
        <v/>
      </c>
      <c r="B101" s="27"/>
      <c r="C101" s="28"/>
      <c r="E101" s="163" t="str">
        <f>IF(Allgemein!N66=0,"",Allgemein!N66)</f>
        <v/>
      </c>
      <c r="F101" s="165"/>
      <c r="G101" s="28"/>
      <c r="H101" s="28"/>
    </row>
    <row r="102" spans="1:43" s="12" customFormat="1" hidden="1" x14ac:dyDescent="0.2">
      <c r="A102" s="22" t="str">
        <f>IF(Allgemein!P67=0,"",Allgemein!P67)</f>
        <v/>
      </c>
      <c r="B102" s="27"/>
      <c r="C102" s="28"/>
      <c r="E102" s="163" t="str">
        <f>IF(Allgemein!N67=0,"",Allgemein!N67)</f>
        <v/>
      </c>
      <c r="F102" s="165"/>
      <c r="G102" s="28"/>
      <c r="H102" s="28"/>
    </row>
    <row r="103" spans="1:43" s="12" customFormat="1" hidden="1" x14ac:dyDescent="0.2">
      <c r="A103" s="22" t="str">
        <f>IF(Allgemein!P68=0,"",Allgemein!P68)</f>
        <v/>
      </c>
      <c r="B103" s="27"/>
      <c r="C103" s="28"/>
      <c r="E103" s="163" t="str">
        <f>IF(Allgemein!N68=0,"",Allgemein!N68)</f>
        <v/>
      </c>
      <c r="F103" s="165"/>
      <c r="G103" s="28"/>
      <c r="H103" s="28"/>
    </row>
    <row r="104" spans="1:43" s="12" customFormat="1" hidden="1" x14ac:dyDescent="0.2">
      <c r="A104" s="13"/>
      <c r="B104" s="13"/>
      <c r="C104" s="13"/>
    </row>
    <row r="105" spans="1:43" s="12" customFormat="1" ht="107.1" customHeight="1" x14ac:dyDescent="0.2">
      <c r="A105" s="153" t="s">
        <v>80</v>
      </c>
      <c r="B105" s="155"/>
      <c r="C105" s="74"/>
      <c r="D105" s="34" t="str">
        <f>Allgemein!C43</f>
        <v>Arbeitsergebnisse</v>
      </c>
      <c r="E105" s="34" t="s">
        <v>363</v>
      </c>
      <c r="F105" s="34" t="str">
        <f>Allgemein!C44</f>
        <v>Projektdokumentation</v>
      </c>
      <c r="G105" s="34" t="str">
        <f>Allgemein!C45</f>
        <v>IT-System- und Dokumentenmanagement</v>
      </c>
      <c r="H105" s="34" t="str">
        <f>Allgemein!C46</f>
        <v>Altprojektdatenbank</v>
      </c>
      <c r="I105" s="34" t="str">
        <f>Allgemein!C47</f>
        <v>Projektfeinplanung (Arbeitspakete - Git Tickets)</v>
      </c>
      <c r="J105" s="34" t="str">
        <f>Allgemein!C48</f>
        <v>Projektgrobplanung</v>
      </c>
      <c r="K105" s="34" t="str">
        <f>Allgemein!C49</f>
        <v>Rechnungsmanagement</v>
      </c>
      <c r="L105" s="34" t="str">
        <f>Allgemein!C50</f>
        <v>Projektbasierte Risikoanalyse</v>
      </c>
      <c r="M105" s="34" t="str">
        <f>Allgemein!C51</f>
        <v>Wiki Wissensdatenbank</v>
      </c>
      <c r="N105" s="34" t="str">
        <f>Allgemein!C52</f>
        <v>Source Code</v>
      </c>
      <c r="O105" s="34" t="str">
        <f>Allgemein!C53</f>
        <v>Missionsdaten</v>
      </c>
      <c r="P105" s="34" t="str">
        <f>Allgemein!C54</f>
        <v>Schlüsselmaterial Mission</v>
      </c>
      <c r="Q105" s="34">
        <f>Allgemein!C56</f>
        <v>0</v>
      </c>
      <c r="R105" s="34">
        <f>Allgemein!C57</f>
        <v>0</v>
      </c>
      <c r="S105" s="34">
        <f>Allgemein!C58</f>
        <v>0</v>
      </c>
      <c r="T105" s="34">
        <f>Allgemein!C59</f>
        <v>0</v>
      </c>
      <c r="U105" s="34">
        <f>Allgemein!C60</f>
        <v>0</v>
      </c>
      <c r="V105" s="34">
        <f>Allgemein!C61</f>
        <v>0</v>
      </c>
      <c r="W105" s="34">
        <f>Allgemein!C62</f>
        <v>0</v>
      </c>
      <c r="X105" s="34">
        <f>Allgemein!C63</f>
        <v>0</v>
      </c>
      <c r="Y105" s="34">
        <f>Allgemein!C64</f>
        <v>0</v>
      </c>
      <c r="Z105" s="34">
        <f>Allgemein!C65</f>
        <v>0</v>
      </c>
      <c r="AA105" s="34">
        <f>Allgemein!C66</f>
        <v>0</v>
      </c>
      <c r="AB105" s="34">
        <f>Allgemein!C67</f>
        <v>0</v>
      </c>
      <c r="AC105" s="34">
        <f>Allgemein!C68</f>
        <v>0</v>
      </c>
      <c r="AD105" s="34">
        <f>Allgemein!C69</f>
        <v>0</v>
      </c>
      <c r="AE105" s="34">
        <f>Allgemein!C70</f>
        <v>0</v>
      </c>
      <c r="AF105" s="34">
        <f>Allgemein!C71</f>
        <v>0</v>
      </c>
      <c r="AG105" s="34">
        <f>Allgemein!C72</f>
        <v>0</v>
      </c>
      <c r="AH105" s="34">
        <f>Allgemein!C73</f>
        <v>0</v>
      </c>
      <c r="AI105" s="34">
        <f>Allgemein!C74</f>
        <v>0</v>
      </c>
      <c r="AJ105" s="34">
        <f>Allgemein!C75</f>
        <v>0</v>
      </c>
      <c r="AK105" s="34">
        <f>Allgemein!C76</f>
        <v>0</v>
      </c>
      <c r="AL105" s="34">
        <f>Allgemein!C77</f>
        <v>0</v>
      </c>
      <c r="AM105" s="34">
        <f>Allgemein!C78</f>
        <v>0</v>
      </c>
      <c r="AN105" s="34">
        <f>Allgemein!C79</f>
        <v>0</v>
      </c>
      <c r="AO105" s="34">
        <f>Allgemein!C80</f>
        <v>0</v>
      </c>
      <c r="AP105" s="34">
        <f>Allgemein!C81</f>
        <v>0</v>
      </c>
      <c r="AQ105" s="34">
        <f>Allgemein!C82</f>
        <v>0</v>
      </c>
    </row>
    <row r="106" spans="1:43" s="12" customFormat="1" x14ac:dyDescent="0.2">
      <c r="A106" s="173" t="s">
        <v>278</v>
      </c>
      <c r="B106" s="173"/>
      <c r="C106" s="84"/>
      <c r="D106" s="104"/>
      <c r="E106" s="35"/>
      <c r="F106" s="35"/>
      <c r="G106" s="35"/>
      <c r="H106" s="35"/>
      <c r="I106" s="115" t="s">
        <v>357</v>
      </c>
      <c r="J106" s="104"/>
      <c r="K106" s="104"/>
      <c r="L106" s="35"/>
      <c r="M106" s="35"/>
      <c r="N106" s="104"/>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row>
    <row r="107" spans="1:43" s="12" customFormat="1" x14ac:dyDescent="0.2">
      <c r="A107" s="12" t="s">
        <v>279</v>
      </c>
      <c r="C107" s="84"/>
      <c r="D107" s="104"/>
      <c r="E107" s="35"/>
      <c r="F107" s="35"/>
      <c r="G107" s="35"/>
      <c r="H107" s="35"/>
      <c r="I107" s="115" t="s">
        <v>357</v>
      </c>
      <c r="J107" s="104"/>
      <c r="K107" s="104"/>
      <c r="L107" s="35"/>
      <c r="M107" s="35"/>
      <c r="N107" s="104"/>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row>
    <row r="108" spans="1:43" s="12" customFormat="1" x14ac:dyDescent="0.2">
      <c r="A108" s="173" t="s">
        <v>282</v>
      </c>
      <c r="B108" s="173"/>
      <c r="C108" s="85"/>
      <c r="D108" s="104"/>
      <c r="E108" s="35"/>
      <c r="F108" s="116"/>
      <c r="G108" s="35"/>
      <c r="H108" s="116"/>
      <c r="I108" s="35"/>
      <c r="J108" s="104"/>
      <c r="K108" s="104"/>
      <c r="L108" s="35"/>
      <c r="M108" s="116"/>
      <c r="N108" s="104"/>
      <c r="O108" s="115" t="s">
        <v>357</v>
      </c>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row>
    <row r="109" spans="1:43" s="12" customFormat="1" x14ac:dyDescent="0.2">
      <c r="A109" s="173" t="s">
        <v>283</v>
      </c>
      <c r="B109" s="173"/>
      <c r="C109" s="84"/>
      <c r="D109" s="104"/>
      <c r="E109" s="35"/>
      <c r="F109" s="116"/>
      <c r="G109" s="35"/>
      <c r="H109" s="116"/>
      <c r="I109" s="35"/>
      <c r="J109" s="104"/>
      <c r="K109" s="104"/>
      <c r="L109" s="35"/>
      <c r="M109" s="116"/>
      <c r="N109" s="104"/>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row>
    <row r="110" spans="1:43" s="12" customFormat="1" x14ac:dyDescent="0.2">
      <c r="A110" s="173" t="s">
        <v>290</v>
      </c>
      <c r="B110" s="173"/>
      <c r="C110" s="84"/>
      <c r="D110" s="104"/>
      <c r="E110" s="35"/>
      <c r="F110" s="116"/>
      <c r="G110" s="116"/>
      <c r="H110" s="35"/>
      <c r="I110" s="35"/>
      <c r="J110" s="104"/>
      <c r="K110" s="104"/>
      <c r="L110" s="115" t="s">
        <v>357</v>
      </c>
      <c r="M110" s="35"/>
      <c r="N110" s="104"/>
      <c r="O110" s="115" t="s">
        <v>357</v>
      </c>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row>
    <row r="111" spans="1:43" s="12" customFormat="1" x14ac:dyDescent="0.2">
      <c r="A111" s="173" t="s">
        <v>291</v>
      </c>
      <c r="B111" s="173"/>
      <c r="C111" s="84"/>
      <c r="D111" s="104"/>
      <c r="E111" s="35"/>
      <c r="F111" s="116"/>
      <c r="G111" s="116"/>
      <c r="H111" s="35"/>
      <c r="I111" s="35"/>
      <c r="J111" s="104"/>
      <c r="K111" s="104"/>
      <c r="L111" s="115" t="s">
        <v>357</v>
      </c>
      <c r="M111" s="35"/>
      <c r="N111" s="104"/>
      <c r="O111" s="115" t="s">
        <v>357</v>
      </c>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row>
    <row r="112" spans="1:43" s="12" customFormat="1" x14ac:dyDescent="0.2">
      <c r="A112" s="84" t="s">
        <v>292</v>
      </c>
      <c r="B112" s="84"/>
      <c r="C112" s="84"/>
      <c r="D112" s="104"/>
      <c r="E112" s="35"/>
      <c r="F112" s="116"/>
      <c r="G112" s="116"/>
      <c r="H112" s="35"/>
      <c r="I112" s="35"/>
      <c r="J112" s="104"/>
      <c r="K112" s="104"/>
      <c r="L112" s="115" t="s">
        <v>357</v>
      </c>
      <c r="M112" s="35"/>
      <c r="N112" s="104"/>
      <c r="O112" s="115" t="s">
        <v>357</v>
      </c>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row>
    <row r="113" spans="1:43" s="12" customFormat="1" x14ac:dyDescent="0.2">
      <c r="A113" s="84" t="s">
        <v>293</v>
      </c>
      <c r="B113" s="84"/>
      <c r="C113" s="84"/>
      <c r="D113" s="104"/>
      <c r="E113" s="35"/>
      <c r="F113" s="116"/>
      <c r="G113" s="116"/>
      <c r="H113" s="35"/>
      <c r="I113" s="35"/>
      <c r="J113" s="104"/>
      <c r="K113" s="104"/>
      <c r="L113" s="115" t="s">
        <v>357</v>
      </c>
      <c r="M113" s="35"/>
      <c r="N113" s="104"/>
      <c r="O113" s="115" t="s">
        <v>357</v>
      </c>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row>
    <row r="114" spans="1:43" s="12" customFormat="1" x14ac:dyDescent="0.2">
      <c r="A114" s="84" t="s">
        <v>294</v>
      </c>
      <c r="B114" s="84"/>
      <c r="C114" s="84"/>
      <c r="D114" s="104"/>
      <c r="E114" s="35"/>
      <c r="F114" s="116"/>
      <c r="G114" s="116"/>
      <c r="H114" s="35"/>
      <c r="I114" s="35"/>
      <c r="J114" s="104"/>
      <c r="K114" s="104"/>
      <c r="L114" s="115" t="s">
        <v>357</v>
      </c>
      <c r="M114" s="35"/>
      <c r="N114" s="104"/>
      <c r="O114" s="115" t="s">
        <v>357</v>
      </c>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row>
    <row r="115" spans="1:43" s="12" customFormat="1" x14ac:dyDescent="0.2">
      <c r="A115" s="84" t="s">
        <v>295</v>
      </c>
      <c r="B115" s="84"/>
      <c r="C115" s="84"/>
      <c r="D115" s="104"/>
      <c r="E115" s="35"/>
      <c r="F115" s="116"/>
      <c r="G115" s="116"/>
      <c r="H115" s="35"/>
      <c r="I115" s="35"/>
      <c r="J115" s="104"/>
      <c r="K115" s="104"/>
      <c r="L115" s="115" t="s">
        <v>357</v>
      </c>
      <c r="M115" s="35"/>
      <c r="N115" s="104"/>
      <c r="O115" s="115" t="s">
        <v>357</v>
      </c>
      <c r="P115" s="115" t="s">
        <v>357</v>
      </c>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row>
    <row r="116" spans="1:43" s="12" customFormat="1" x14ac:dyDescent="0.2">
      <c r="A116" s="84" t="s">
        <v>296</v>
      </c>
      <c r="B116" s="84"/>
      <c r="C116" s="84"/>
      <c r="D116" s="104"/>
      <c r="E116" s="35"/>
      <c r="F116" s="116"/>
      <c r="G116" s="116"/>
      <c r="H116" s="35"/>
      <c r="I116" s="35"/>
      <c r="J116" s="104"/>
      <c r="K116" s="104"/>
      <c r="L116" s="115" t="s">
        <v>357</v>
      </c>
      <c r="M116" s="35"/>
      <c r="N116" s="104"/>
      <c r="O116" s="115" t="s">
        <v>357</v>
      </c>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row>
    <row r="117" spans="1:43" s="12" customFormat="1" x14ac:dyDescent="0.2">
      <c r="A117" s="84" t="s">
        <v>297</v>
      </c>
      <c r="B117" s="84"/>
      <c r="C117" s="84"/>
      <c r="D117" s="104"/>
      <c r="E117" s="35"/>
      <c r="F117" s="116"/>
      <c r="G117" s="116"/>
      <c r="H117" s="35"/>
      <c r="I117" s="35"/>
      <c r="J117" s="104"/>
      <c r="K117" s="104"/>
      <c r="L117" s="115" t="s">
        <v>357</v>
      </c>
      <c r="M117" s="35"/>
      <c r="N117" s="104"/>
      <c r="O117" s="115" t="s">
        <v>357</v>
      </c>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row>
    <row r="118" spans="1:43" s="12" customFormat="1" x14ac:dyDescent="0.2">
      <c r="A118" s="84" t="s">
        <v>298</v>
      </c>
      <c r="B118" s="84"/>
      <c r="C118" s="84"/>
      <c r="D118" s="104"/>
      <c r="E118" s="35"/>
      <c r="F118" s="116"/>
      <c r="G118" s="116"/>
      <c r="H118" s="35"/>
      <c r="I118" s="35"/>
      <c r="J118" s="104"/>
      <c r="K118" s="104"/>
      <c r="L118" s="115" t="s">
        <v>357</v>
      </c>
      <c r="M118" s="35"/>
      <c r="N118" s="104"/>
      <c r="O118" s="115" t="s">
        <v>357</v>
      </c>
      <c r="P118" s="115" t="s">
        <v>357</v>
      </c>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row>
    <row r="119" spans="1:43" s="12" customFormat="1" x14ac:dyDescent="0.2">
      <c r="A119" s="84" t="s">
        <v>299</v>
      </c>
      <c r="B119" s="84"/>
      <c r="C119" s="84"/>
      <c r="D119" s="104"/>
      <c r="E119" s="35"/>
      <c r="F119" s="116"/>
      <c r="G119" s="116"/>
      <c r="H119" s="35"/>
      <c r="I119" s="35"/>
      <c r="J119" s="104"/>
      <c r="K119" s="104"/>
      <c r="L119" s="115" t="s">
        <v>357</v>
      </c>
      <c r="M119" s="35"/>
      <c r="N119" s="104"/>
      <c r="O119" s="115" t="s">
        <v>357</v>
      </c>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row>
    <row r="120" spans="1:43" s="12" customFormat="1" x14ac:dyDescent="0.2">
      <c r="A120" s="84" t="s">
        <v>273</v>
      </c>
      <c r="B120" s="84"/>
      <c r="C120" s="84"/>
      <c r="D120" s="104"/>
      <c r="E120" s="35"/>
      <c r="F120" s="115" t="s">
        <v>357</v>
      </c>
      <c r="G120" s="115" t="s">
        <v>357</v>
      </c>
      <c r="H120" s="115" t="s">
        <v>357</v>
      </c>
      <c r="I120" s="35"/>
      <c r="J120" s="104"/>
      <c r="K120" s="104"/>
      <c r="L120" s="115" t="s">
        <v>357</v>
      </c>
      <c r="M120" s="115" t="s">
        <v>357</v>
      </c>
      <c r="N120" s="104"/>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row>
    <row r="121" spans="1:43" s="12" customFormat="1" x14ac:dyDescent="0.2">
      <c r="A121" s="84" t="s">
        <v>274</v>
      </c>
      <c r="B121" s="84"/>
      <c r="C121" s="84"/>
      <c r="D121" s="104"/>
      <c r="E121" s="35"/>
      <c r="F121" s="115" t="s">
        <v>357</v>
      </c>
      <c r="G121" s="115" t="s">
        <v>357</v>
      </c>
      <c r="H121" s="115" t="s">
        <v>357</v>
      </c>
      <c r="I121" s="35"/>
      <c r="J121" s="104"/>
      <c r="K121" s="104"/>
      <c r="L121" s="115" t="s">
        <v>357</v>
      </c>
      <c r="M121" s="115" t="s">
        <v>357</v>
      </c>
      <c r="N121" s="104"/>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row>
    <row r="122" spans="1:43" s="12" customFormat="1" x14ac:dyDescent="0.2">
      <c r="A122" s="84"/>
      <c r="B122" s="84"/>
      <c r="C122" s="84"/>
      <c r="D122" s="104"/>
      <c r="E122" s="35"/>
      <c r="F122" s="35"/>
      <c r="G122" s="35"/>
      <c r="H122" s="35"/>
      <c r="I122" s="35"/>
      <c r="J122" s="104"/>
      <c r="K122" s="104"/>
      <c r="L122" s="35"/>
      <c r="M122" s="35"/>
      <c r="N122" s="104"/>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row>
    <row r="123" spans="1:43" s="12" customFormat="1" x14ac:dyDescent="0.2">
      <c r="A123" s="84"/>
      <c r="B123" s="84"/>
      <c r="C123" s="84"/>
      <c r="D123" s="104"/>
      <c r="E123" s="35"/>
      <c r="F123" s="35"/>
      <c r="G123" s="35"/>
      <c r="H123" s="35"/>
      <c r="I123" s="35"/>
      <c r="J123" s="104"/>
      <c r="K123" s="104"/>
      <c r="L123" s="35"/>
      <c r="M123" s="35"/>
      <c r="N123" s="104"/>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row>
    <row r="124" spans="1:43" s="12" customFormat="1" x14ac:dyDescent="0.2">
      <c r="A124" s="84"/>
      <c r="B124" s="84"/>
      <c r="C124" s="85"/>
      <c r="D124" s="104"/>
      <c r="E124" s="35"/>
      <c r="F124" s="35"/>
      <c r="G124" s="35"/>
      <c r="H124" s="35"/>
      <c r="I124" s="35"/>
      <c r="J124" s="104"/>
      <c r="K124" s="104"/>
      <c r="L124" s="35"/>
      <c r="M124" s="35"/>
      <c r="N124" s="104"/>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row>
    <row r="125" spans="1:43" s="12" customFormat="1" x14ac:dyDescent="0.2">
      <c r="A125" s="84"/>
      <c r="B125" s="84"/>
      <c r="C125" s="84"/>
      <c r="D125" s="104"/>
      <c r="E125" s="35"/>
      <c r="F125" s="35"/>
      <c r="G125" s="35"/>
      <c r="H125" s="35"/>
      <c r="I125" s="35"/>
      <c r="J125" s="104"/>
      <c r="K125" s="104"/>
      <c r="L125" s="35"/>
      <c r="M125" s="35"/>
      <c r="N125" s="104"/>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row>
    <row r="126" spans="1:43" s="12" customFormat="1" x14ac:dyDescent="0.2">
      <c r="A126" s="84"/>
      <c r="B126" s="84"/>
      <c r="C126" s="84"/>
      <c r="D126" s="104"/>
      <c r="E126" s="35"/>
      <c r="F126" s="35"/>
      <c r="G126" s="35"/>
      <c r="H126" s="35"/>
      <c r="I126" s="35"/>
      <c r="J126" s="104"/>
      <c r="K126" s="104"/>
      <c r="L126" s="35"/>
      <c r="M126" s="35"/>
      <c r="N126" s="104"/>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row>
    <row r="127" spans="1:43" s="12" customFormat="1" x14ac:dyDescent="0.2">
      <c r="A127" s="84"/>
      <c r="B127" s="84"/>
      <c r="C127" s="84"/>
      <c r="D127" s="104"/>
      <c r="E127" s="35"/>
      <c r="F127" s="35"/>
      <c r="G127" s="35"/>
      <c r="H127" s="35"/>
      <c r="I127" s="35"/>
      <c r="J127" s="104"/>
      <c r="K127" s="104"/>
      <c r="L127" s="35"/>
      <c r="M127" s="35"/>
      <c r="N127" s="104"/>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row>
    <row r="128" spans="1:43" s="12" customFormat="1" x14ac:dyDescent="0.2">
      <c r="A128" s="84"/>
      <c r="B128" s="84"/>
      <c r="C128" s="84"/>
      <c r="D128" s="104"/>
      <c r="E128" s="35"/>
      <c r="F128" s="35"/>
      <c r="G128" s="35"/>
      <c r="H128" s="35"/>
      <c r="I128" s="35"/>
      <c r="J128" s="104"/>
      <c r="K128" s="104"/>
      <c r="L128" s="35"/>
      <c r="M128" s="35"/>
      <c r="N128" s="104"/>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row>
    <row r="129" spans="1:43" s="12" customFormat="1" x14ac:dyDescent="0.2">
      <c r="A129" s="84"/>
      <c r="B129" s="84"/>
      <c r="C129" s="84"/>
      <c r="D129" s="104"/>
      <c r="E129" s="35"/>
      <c r="F129" s="35"/>
      <c r="G129" s="35"/>
      <c r="H129" s="35"/>
      <c r="I129" s="35"/>
      <c r="J129" s="104"/>
      <c r="K129" s="104"/>
      <c r="L129" s="35"/>
      <c r="M129" s="35"/>
      <c r="N129" s="104"/>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row>
    <row r="130" spans="1:43" s="12" customFormat="1" x14ac:dyDescent="0.2">
      <c r="A130" s="84"/>
      <c r="B130" s="84"/>
      <c r="C130" s="84"/>
      <c r="D130" s="104"/>
      <c r="E130" s="35"/>
      <c r="F130" s="35"/>
      <c r="G130" s="35"/>
      <c r="H130" s="35"/>
      <c r="I130" s="35"/>
      <c r="J130" s="104"/>
      <c r="K130" s="104"/>
      <c r="L130" s="35"/>
      <c r="M130" s="35"/>
      <c r="N130" s="104"/>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row>
    <row r="131" spans="1:43" s="12" customFormat="1" x14ac:dyDescent="0.2">
      <c r="A131" s="84"/>
      <c r="B131" s="84"/>
      <c r="C131" s="84"/>
      <c r="D131" s="104"/>
      <c r="E131" s="35"/>
      <c r="F131" s="35"/>
      <c r="G131" s="35"/>
      <c r="H131" s="35"/>
      <c r="I131" s="35"/>
      <c r="J131" s="104"/>
      <c r="K131" s="104"/>
      <c r="L131" s="35"/>
      <c r="M131" s="35"/>
      <c r="N131" s="104"/>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row>
    <row r="132" spans="1:43" s="12" customFormat="1" x14ac:dyDescent="0.2">
      <c r="A132" s="84"/>
      <c r="B132" s="84"/>
      <c r="C132" s="84"/>
      <c r="D132" s="104"/>
      <c r="E132" s="35"/>
      <c r="F132" s="35"/>
      <c r="G132" s="35"/>
      <c r="H132" s="35"/>
      <c r="I132" s="35"/>
      <c r="J132" s="104"/>
      <c r="K132" s="104"/>
      <c r="L132" s="35"/>
      <c r="M132" s="35"/>
      <c r="N132" s="104"/>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row>
    <row r="133" spans="1:43" s="12" customFormat="1" x14ac:dyDescent="0.2">
      <c r="A133" s="84"/>
      <c r="B133" s="84"/>
      <c r="C133" s="84"/>
      <c r="D133" s="104"/>
      <c r="E133" s="35"/>
      <c r="F133" s="35"/>
      <c r="G133" s="35"/>
      <c r="H133" s="35"/>
      <c r="I133" s="35"/>
      <c r="J133" s="104"/>
      <c r="K133" s="104"/>
      <c r="L133" s="35"/>
      <c r="M133" s="35"/>
      <c r="N133" s="104"/>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row>
    <row r="134" spans="1:43" s="12" customFormat="1" x14ac:dyDescent="0.2">
      <c r="A134" s="84"/>
      <c r="B134" s="84"/>
      <c r="C134" s="84"/>
      <c r="D134" s="104"/>
      <c r="E134" s="35"/>
      <c r="F134" s="35"/>
      <c r="G134" s="35"/>
      <c r="H134" s="35"/>
      <c r="I134" s="35"/>
      <c r="J134" s="104"/>
      <c r="K134" s="104"/>
      <c r="L134" s="35"/>
      <c r="M134" s="35"/>
      <c r="N134" s="104"/>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row>
    <row r="135" spans="1:43" s="12" customFormat="1" x14ac:dyDescent="0.2">
      <c r="A135" s="84"/>
      <c r="B135" s="84"/>
      <c r="C135" s="84"/>
      <c r="D135" s="104"/>
      <c r="E135" s="35"/>
      <c r="F135" s="35"/>
      <c r="G135" s="35"/>
      <c r="H135" s="35"/>
      <c r="I135" s="35"/>
      <c r="J135" s="104"/>
      <c r="K135" s="104"/>
      <c r="L135" s="35"/>
      <c r="M135" s="35"/>
      <c r="N135" s="104"/>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row>
    <row r="136" spans="1:43" s="12" customFormat="1" x14ac:dyDescent="0.2">
      <c r="A136" s="84"/>
      <c r="B136" s="84"/>
      <c r="C136" s="84"/>
      <c r="D136" s="104"/>
      <c r="E136" s="35"/>
      <c r="F136" s="35"/>
      <c r="G136" s="35"/>
      <c r="H136" s="35"/>
      <c r="I136" s="35"/>
      <c r="J136" s="104"/>
      <c r="K136" s="104"/>
      <c r="L136" s="35"/>
      <c r="M136" s="35"/>
      <c r="N136" s="104"/>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row>
    <row r="137" spans="1:43" s="12" customFormat="1" x14ac:dyDescent="0.2">
      <c r="A137" s="84"/>
      <c r="B137" s="84"/>
      <c r="C137" s="84"/>
      <c r="D137" s="104"/>
      <c r="E137" s="35"/>
      <c r="F137" s="35"/>
      <c r="G137" s="35"/>
      <c r="H137" s="35"/>
      <c r="I137" s="35"/>
      <c r="J137" s="104"/>
      <c r="K137" s="104"/>
      <c r="L137" s="35"/>
      <c r="M137" s="35"/>
      <c r="N137" s="104"/>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row>
    <row r="138" spans="1:43" s="12" customFormat="1" x14ac:dyDescent="0.2">
      <c r="A138" s="84"/>
      <c r="B138" s="84"/>
      <c r="C138" s="84"/>
      <c r="D138" s="104"/>
      <c r="E138" s="35"/>
      <c r="F138" s="35"/>
      <c r="G138" s="35"/>
      <c r="H138" s="35"/>
      <c r="I138" s="35"/>
      <c r="J138" s="104"/>
      <c r="K138" s="104"/>
      <c r="L138" s="35"/>
      <c r="M138" s="35"/>
      <c r="N138" s="104"/>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row>
    <row r="139" spans="1:43" s="12" customFormat="1" x14ac:dyDescent="0.2">
      <c r="A139" s="84"/>
      <c r="B139" s="84"/>
      <c r="C139" s="84"/>
      <c r="D139" s="104"/>
      <c r="E139" s="35"/>
      <c r="F139" s="35"/>
      <c r="G139" s="35"/>
      <c r="H139" s="35"/>
      <c r="I139" s="35"/>
      <c r="J139" s="104"/>
      <c r="K139" s="104"/>
      <c r="L139" s="35"/>
      <c r="M139" s="35"/>
      <c r="N139" s="104"/>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row>
    <row r="140" spans="1:43" s="12" customFormat="1" x14ac:dyDescent="0.2">
      <c r="A140" s="84"/>
      <c r="B140" s="84"/>
      <c r="C140" s="84"/>
      <c r="D140" s="104"/>
      <c r="E140" s="35"/>
      <c r="F140" s="35"/>
      <c r="G140" s="35"/>
      <c r="H140" s="35"/>
      <c r="I140" s="35"/>
      <c r="J140" s="104"/>
      <c r="K140" s="104"/>
      <c r="L140" s="35"/>
      <c r="M140" s="35"/>
      <c r="N140" s="104"/>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row>
    <row r="141" spans="1:43" s="12" customFormat="1" x14ac:dyDescent="0.2">
      <c r="A141" s="84"/>
      <c r="B141" s="84"/>
      <c r="C141" s="84"/>
      <c r="D141" s="104"/>
      <c r="E141" s="35"/>
      <c r="F141" s="35"/>
      <c r="G141" s="35"/>
      <c r="H141" s="35"/>
      <c r="I141" s="35"/>
      <c r="J141" s="104"/>
      <c r="K141" s="104"/>
      <c r="L141" s="35"/>
      <c r="M141" s="35"/>
      <c r="N141" s="104"/>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row>
    <row r="142" spans="1:43" s="12" customFormat="1" x14ac:dyDescent="0.2">
      <c r="A142" s="84"/>
      <c r="B142" s="84"/>
      <c r="C142" s="84"/>
      <c r="D142" s="104"/>
      <c r="E142" s="35"/>
      <c r="F142" s="35"/>
      <c r="G142" s="35"/>
      <c r="H142" s="35"/>
      <c r="I142" s="35"/>
      <c r="J142" s="104"/>
      <c r="K142" s="104"/>
      <c r="L142" s="35"/>
      <c r="M142" s="35"/>
      <c r="N142" s="104"/>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row>
    <row r="143" spans="1:43" s="12" customFormat="1" x14ac:dyDescent="0.2">
      <c r="A143" s="84"/>
      <c r="B143" s="84"/>
      <c r="C143" s="84"/>
      <c r="D143" s="104"/>
      <c r="E143" s="35"/>
      <c r="F143" s="35"/>
      <c r="G143" s="35"/>
      <c r="H143" s="35"/>
      <c r="I143" s="35"/>
      <c r="J143" s="104"/>
      <c r="K143" s="104"/>
      <c r="L143" s="35"/>
      <c r="M143" s="35"/>
      <c r="N143" s="104"/>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row>
    <row r="144" spans="1:43" s="12" customFormat="1" x14ac:dyDescent="0.2">
      <c r="A144" s="84"/>
      <c r="B144" s="84"/>
      <c r="C144" s="84"/>
      <c r="D144" s="104"/>
      <c r="E144" s="35"/>
      <c r="F144" s="35"/>
      <c r="G144" s="35"/>
      <c r="H144" s="35"/>
      <c r="I144" s="35"/>
      <c r="J144" s="104"/>
      <c r="K144" s="104"/>
      <c r="L144" s="35"/>
      <c r="M144" s="35"/>
      <c r="N144" s="104"/>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row>
    <row r="145" spans="1:43" s="12" customFormat="1" x14ac:dyDescent="0.2">
      <c r="A145" s="84"/>
      <c r="B145" s="84"/>
      <c r="C145" s="84"/>
      <c r="D145" s="104"/>
      <c r="E145" s="35"/>
      <c r="F145" s="35"/>
      <c r="G145" s="35"/>
      <c r="H145" s="35"/>
      <c r="I145" s="35"/>
      <c r="J145" s="104"/>
      <c r="K145" s="104"/>
      <c r="L145" s="35"/>
      <c r="M145" s="35"/>
      <c r="N145" s="104"/>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row>
    <row r="146" spans="1:43" s="12" customFormat="1" x14ac:dyDescent="0.2">
      <c r="A146" s="109"/>
      <c r="B146" s="109"/>
      <c r="C146" s="109"/>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row>
    <row r="147" spans="1:43" s="12" customFormat="1" ht="18" customHeight="1" x14ac:dyDescent="0.2"/>
    <row r="148" spans="1:43" s="12" customFormat="1" ht="21" hidden="1" customHeight="1" x14ac:dyDescent="0.2">
      <c r="A148" s="168" t="s">
        <v>82</v>
      </c>
      <c r="B148" s="169"/>
      <c r="C148" s="169"/>
      <c r="D148" s="169"/>
      <c r="E148" s="169"/>
      <c r="F148" s="169"/>
      <c r="G148" s="169"/>
      <c r="H148" s="169"/>
      <c r="I148" s="169"/>
      <c r="J148" s="169"/>
      <c r="K148" s="169"/>
      <c r="L148" s="169"/>
      <c r="M148" s="170"/>
    </row>
    <row r="149" spans="1:43" s="12" customFormat="1" ht="18" hidden="1" customHeight="1" x14ac:dyDescent="0.2">
      <c r="A149" s="13"/>
      <c r="B149" s="13"/>
      <c r="C149" s="13"/>
      <c r="D149" s="13"/>
      <c r="E149" s="13"/>
      <c r="F149" s="13"/>
      <c r="G149" s="13"/>
      <c r="H149" s="13"/>
      <c r="I149" s="13"/>
      <c r="J149" s="13"/>
      <c r="L149" s="13"/>
      <c r="M149" s="13"/>
    </row>
    <row r="150" spans="1:43" s="12" customFormat="1" ht="25.5" hidden="1" customHeight="1" x14ac:dyDescent="0.2">
      <c r="A150" s="13"/>
      <c r="B150" s="156" t="s">
        <v>83</v>
      </c>
      <c r="C150" s="156"/>
      <c r="D150" s="156"/>
      <c r="E150" s="156"/>
      <c r="F150" s="156"/>
      <c r="G150" s="156"/>
      <c r="H150" s="156"/>
      <c r="I150" s="156"/>
      <c r="J150" s="13"/>
      <c r="L150" s="13"/>
      <c r="M150" s="13"/>
      <c r="O150" s="174" t="s">
        <v>84</v>
      </c>
      <c r="P150" s="174"/>
    </row>
    <row r="151" spans="1:43" s="12" customFormat="1" ht="25.5" hidden="1" customHeight="1" x14ac:dyDescent="0.2">
      <c r="A151" s="76" t="s">
        <v>85</v>
      </c>
      <c r="B151" s="110" t="s">
        <v>233</v>
      </c>
      <c r="C151" s="56" t="s">
        <v>181</v>
      </c>
      <c r="D151" s="56" t="s">
        <v>182</v>
      </c>
      <c r="E151" s="56" t="s">
        <v>182</v>
      </c>
      <c r="F151" s="56" t="s">
        <v>202</v>
      </c>
      <c r="G151" s="56"/>
      <c r="H151" s="74" t="s">
        <v>86</v>
      </c>
      <c r="I151" s="74" t="s">
        <v>86</v>
      </c>
      <c r="J151" s="56" t="s">
        <v>70</v>
      </c>
      <c r="K151" s="56" t="s">
        <v>87</v>
      </c>
      <c r="L151" s="56" t="s">
        <v>88</v>
      </c>
      <c r="M151" s="56" t="s">
        <v>89</v>
      </c>
      <c r="O151" s="61" t="s">
        <v>90</v>
      </c>
      <c r="P151" s="61" t="s">
        <v>91</v>
      </c>
    </row>
    <row r="152" spans="1:43" s="12" customFormat="1" ht="25.5" hidden="1" customHeight="1" x14ac:dyDescent="0.2">
      <c r="A152" s="57" t="s">
        <v>92</v>
      </c>
      <c r="B152" s="58"/>
      <c r="C152" s="58"/>
      <c r="D152" s="58"/>
      <c r="E152" s="58"/>
      <c r="F152" s="58"/>
      <c r="G152" s="58"/>
      <c r="H152" s="58"/>
      <c r="I152" s="58"/>
      <c r="J152" s="28"/>
      <c r="K152" s="28"/>
      <c r="L152" s="58"/>
      <c r="M152" s="58"/>
      <c r="O152" s="62" t="str">
        <f>IF(COUNT(B152:I152)='ISM Klassifizierung'!$J$14,IF(SUMPRODUCT((B152:I152&gt;=3)*(B152:I152&lt;&gt;0)*1)&gt;0,'ISM Klassifizierung'!$J$14-SUMPRODUCT((B152:I152&gt;=3)*(B152:I152&lt;&gt;0)*1),"Nein"),"Nein")</f>
        <v>Nein</v>
      </c>
      <c r="P152" s="62" t="str">
        <f>IF(M152="","",VLOOKUP(M152,'ISM Klassifizierung'!$K$4:$L$11,2,FALSE))</f>
        <v/>
      </c>
    </row>
    <row r="153" spans="1:43" s="12" customFormat="1" ht="25.5" hidden="1" customHeight="1" x14ac:dyDescent="0.2">
      <c r="A153" s="57" t="s">
        <v>93</v>
      </c>
      <c r="B153" s="58"/>
      <c r="C153" s="58"/>
      <c r="D153" s="58"/>
      <c r="E153" s="58"/>
      <c r="F153" s="58"/>
      <c r="G153" s="58"/>
      <c r="H153" s="58"/>
      <c r="I153" s="58"/>
      <c r="J153" s="28"/>
      <c r="K153" s="28"/>
      <c r="L153" s="58"/>
      <c r="M153" s="58"/>
      <c r="O153" s="62" t="str">
        <f>IF(COUNT(B153:I153)='ISM Klassifizierung'!$J$14,IF(SUMPRODUCT((B153:I153&gt;=3)*(B153:I153&lt;&gt;0)*1)&gt;0,'ISM Klassifizierung'!$J$14-SUMPRODUCT((B153:I153&gt;=3)*(B153:I153&lt;&gt;0)*1),"Nein"),"Nein")</f>
        <v>Nein</v>
      </c>
      <c r="P153" s="62" t="str">
        <f>IF(M153="","",VLOOKUP(M153,'ISM Klassifizierung'!$K$4:$L$11,2,FALSE))</f>
        <v/>
      </c>
    </row>
    <row r="154" spans="1:43" s="12" customFormat="1" ht="25.5" hidden="1" customHeight="1" x14ac:dyDescent="0.2">
      <c r="A154" s="59" t="s">
        <v>94</v>
      </c>
      <c r="B154" s="58"/>
      <c r="C154" s="58"/>
      <c r="D154" s="58"/>
      <c r="E154" s="58"/>
      <c r="F154" s="58"/>
      <c r="G154" s="58"/>
      <c r="H154" s="58"/>
      <c r="I154" s="58"/>
      <c r="J154" s="28"/>
      <c r="K154" s="28"/>
      <c r="L154" s="58"/>
      <c r="M154" s="58"/>
      <c r="O154" s="62" t="str">
        <f>IF(COUNT(B154:I154)='ISM Klassifizierung'!$J$14,IF(SUMPRODUCT((B154:I154&gt;=3)*(B154:I154&lt;&gt;0)*1)&gt;0,'ISM Klassifizierung'!$J$14-SUMPRODUCT((B154:I154&gt;=3)*(B154:I154&lt;&gt;0)*1),"Nein"),"Nein")</f>
        <v>Nein</v>
      </c>
      <c r="P154" s="62" t="str">
        <f>IF(M154="","",VLOOKUP(M154,'ISM Klassifizierung'!$K$4:$L$11,2,FALSE))</f>
        <v/>
      </c>
    </row>
    <row r="155" spans="1:43" s="12" customFormat="1" ht="25.5" hidden="1" customHeight="1" x14ac:dyDescent="0.2">
      <c r="A155" s="59" t="s">
        <v>95</v>
      </c>
      <c r="B155" s="58"/>
      <c r="C155" s="58"/>
      <c r="D155" s="58"/>
      <c r="E155" s="58"/>
      <c r="F155" s="58"/>
      <c r="G155" s="58"/>
      <c r="H155" s="58"/>
      <c r="I155" s="58"/>
      <c r="J155" s="28"/>
      <c r="K155" s="28"/>
      <c r="L155" s="58"/>
      <c r="M155" s="58"/>
      <c r="O155" s="62" t="str">
        <f>IF(COUNT(B155:I155)='ISM Klassifizierung'!$J$14,IF(SUMPRODUCT((B155:I155&gt;=3)*(B155:I155&lt;&gt;0)*1)&gt;0,'ISM Klassifizierung'!$J$14-SUMPRODUCT((B155:I155&gt;=3)*(B155:I155&lt;&gt;0)*1),"Nein"),"Nein")</f>
        <v>Nein</v>
      </c>
      <c r="P155" s="62" t="str">
        <f>IF(M155="","",VLOOKUP(M155,'ISM Klassifizierung'!$K$4:$L$11,2,FALSE))</f>
        <v/>
      </c>
    </row>
    <row r="156" spans="1:43" s="12" customFormat="1" ht="25.5" hidden="1" customHeight="1" x14ac:dyDescent="0.2">
      <c r="A156" s="13"/>
      <c r="B156" s="13"/>
      <c r="C156" s="13"/>
      <c r="D156" s="13"/>
      <c r="E156" s="13"/>
      <c r="F156" s="13"/>
      <c r="G156" s="13"/>
      <c r="H156" s="13"/>
      <c r="I156" s="13"/>
      <c r="J156" s="13"/>
      <c r="L156" s="13"/>
      <c r="M156" s="13"/>
      <c r="O156" s="63" t="str">
        <f>IF(AND(O152="Nein",O153="Nein",O154="Nein",O155="Nein"),"",MIN(O152:P155))</f>
        <v/>
      </c>
      <c r="P156" s="64"/>
    </row>
    <row r="157" spans="1:43" s="12" customFormat="1" ht="25.5" hidden="1" customHeight="1" x14ac:dyDescent="0.2">
      <c r="A157" s="13"/>
      <c r="B157" s="13"/>
      <c r="C157" s="13"/>
      <c r="D157" s="13"/>
      <c r="E157" s="13"/>
      <c r="F157" s="13"/>
      <c r="G157" s="13"/>
      <c r="H157" s="13"/>
      <c r="I157" s="13"/>
      <c r="J157" s="13"/>
      <c r="K157" s="60" t="s">
        <v>96</v>
      </c>
      <c r="L157" s="56"/>
      <c r="M157" s="13"/>
    </row>
    <row r="158" spans="1:43" s="12" customFormat="1" hidden="1" x14ac:dyDescent="0.2"/>
    <row r="159" spans="1:43" s="12" customFormat="1" hidden="1" x14ac:dyDescent="0.2"/>
    <row r="160" spans="1:43" s="12" customFormat="1" hidden="1" x14ac:dyDescent="0.2"/>
    <row r="161" s="12" customFormat="1" hidden="1" x14ac:dyDescent="0.2"/>
    <row r="162" s="12" customFormat="1" hidden="1" x14ac:dyDescent="0.2"/>
    <row r="163" s="12" customFormat="1" hidden="1" x14ac:dyDescent="0.2"/>
    <row r="164" s="12" customFormat="1" hidden="1" x14ac:dyDescent="0.2"/>
    <row r="165" s="12" customFormat="1" hidden="1" x14ac:dyDescent="0.2"/>
    <row r="166" s="12" customFormat="1" hidden="1" x14ac:dyDescent="0.2"/>
    <row r="167" s="12" customFormat="1" hidden="1" x14ac:dyDescent="0.2"/>
    <row r="168" s="12" customFormat="1" hidden="1" x14ac:dyDescent="0.2"/>
    <row r="169" s="12" customFormat="1" hidden="1" x14ac:dyDescent="0.2"/>
    <row r="170" s="12" customFormat="1" hidden="1" x14ac:dyDescent="0.2"/>
    <row r="171" s="12" customFormat="1" hidden="1" x14ac:dyDescent="0.2"/>
    <row r="172" s="12" customFormat="1" hidden="1" x14ac:dyDescent="0.2"/>
    <row r="173" s="12" customFormat="1" hidden="1" x14ac:dyDescent="0.2"/>
    <row r="174" s="12" customFormat="1" hidden="1" x14ac:dyDescent="0.2"/>
    <row r="175" s="12" customFormat="1" hidden="1" x14ac:dyDescent="0.2"/>
    <row r="176" s="12" customFormat="1" hidden="1" x14ac:dyDescent="0.2"/>
    <row r="177" s="12" customFormat="1" hidden="1" x14ac:dyDescent="0.2"/>
    <row r="178" s="12" customFormat="1" hidden="1" x14ac:dyDescent="0.2"/>
    <row r="179" s="12" customFormat="1" hidden="1" x14ac:dyDescent="0.2"/>
    <row r="180" s="12" customFormat="1" hidden="1" x14ac:dyDescent="0.2"/>
    <row r="181" s="12" customFormat="1" hidden="1" x14ac:dyDescent="0.2"/>
    <row r="182" s="12" customFormat="1" hidden="1" x14ac:dyDescent="0.2"/>
    <row r="183" s="12" customFormat="1" hidden="1" x14ac:dyDescent="0.2"/>
    <row r="184" s="12" customFormat="1" hidden="1" x14ac:dyDescent="0.2"/>
    <row r="185" s="12" customFormat="1" hidden="1" x14ac:dyDescent="0.2"/>
    <row r="186" s="12" customFormat="1" hidden="1" x14ac:dyDescent="0.2"/>
    <row r="187" s="12" customFormat="1" hidden="1" x14ac:dyDescent="0.2"/>
    <row r="188" s="12" customFormat="1" hidden="1" x14ac:dyDescent="0.2"/>
    <row r="189" s="12" customFormat="1" hidden="1" x14ac:dyDescent="0.2"/>
    <row r="190" s="12" customFormat="1" hidden="1" x14ac:dyDescent="0.2"/>
    <row r="191" s="12" customFormat="1" hidden="1" x14ac:dyDescent="0.2"/>
    <row r="192" s="12" customFormat="1" hidden="1" x14ac:dyDescent="0.2"/>
    <row r="193" s="12" customFormat="1" hidden="1" x14ac:dyDescent="0.2"/>
    <row r="194" s="12" customFormat="1" hidden="1" x14ac:dyDescent="0.2"/>
    <row r="195" s="12" customFormat="1" hidden="1" x14ac:dyDescent="0.2"/>
    <row r="196" s="12" customFormat="1" hidden="1" x14ac:dyDescent="0.2"/>
    <row r="197" s="12" customFormat="1" hidden="1" x14ac:dyDescent="0.2"/>
    <row r="198" s="12" customFormat="1" hidden="1" x14ac:dyDescent="0.2"/>
    <row r="199" s="12" customFormat="1" hidden="1" x14ac:dyDescent="0.2"/>
    <row r="200" s="12" customFormat="1" hidden="1" x14ac:dyDescent="0.2"/>
    <row r="201" s="12" customFormat="1" hidden="1" x14ac:dyDescent="0.2"/>
    <row r="202" s="12" customFormat="1" hidden="1" x14ac:dyDescent="0.2"/>
    <row r="203" s="12" customFormat="1" hidden="1" x14ac:dyDescent="0.2"/>
    <row r="204" s="12" customFormat="1" hidden="1" x14ac:dyDescent="0.2"/>
    <row r="205" s="12" customFormat="1" hidden="1" x14ac:dyDescent="0.2"/>
    <row r="206" s="12" customFormat="1" hidden="1" x14ac:dyDescent="0.2"/>
    <row r="207" s="12" customFormat="1" hidden="1" x14ac:dyDescent="0.2"/>
    <row r="208" s="12" customFormat="1" hidden="1" x14ac:dyDescent="0.2"/>
    <row r="209" s="12" customFormat="1" hidden="1" x14ac:dyDescent="0.2"/>
    <row r="210" s="12" customFormat="1" hidden="1" x14ac:dyDescent="0.2"/>
    <row r="211" s="12" customFormat="1" hidden="1" x14ac:dyDescent="0.2"/>
    <row r="212" s="12" customFormat="1" hidden="1" x14ac:dyDescent="0.2"/>
    <row r="213" s="12" customFormat="1" hidden="1" x14ac:dyDescent="0.2"/>
    <row r="214" s="12" customFormat="1" hidden="1" x14ac:dyDescent="0.2"/>
    <row r="215" s="12" customFormat="1" hidden="1" x14ac:dyDescent="0.2"/>
    <row r="216" s="12" customFormat="1" hidden="1" x14ac:dyDescent="0.2"/>
    <row r="217" s="12" customFormat="1" hidden="1" x14ac:dyDescent="0.2"/>
    <row r="218" s="12" customFormat="1" hidden="1" x14ac:dyDescent="0.2"/>
    <row r="219" s="12" customFormat="1" hidden="1" x14ac:dyDescent="0.2"/>
    <row r="220" s="12" customFormat="1" hidden="1" x14ac:dyDescent="0.2"/>
    <row r="221" s="12" customFormat="1" hidden="1" x14ac:dyDescent="0.2"/>
    <row r="222" s="12" customFormat="1" hidden="1" x14ac:dyDescent="0.2"/>
    <row r="223" s="12" customFormat="1" hidden="1" x14ac:dyDescent="0.2"/>
    <row r="224" s="12" customFormat="1" hidden="1" x14ac:dyDescent="0.2"/>
    <row r="225" s="12" customFormat="1" hidden="1" x14ac:dyDescent="0.2"/>
  </sheetData>
  <mergeCells count="88">
    <mergeCell ref="A111:B111"/>
    <mergeCell ref="A148:M148"/>
    <mergeCell ref="B150:I150"/>
    <mergeCell ref="O150:P150"/>
    <mergeCell ref="E103:F103"/>
    <mergeCell ref="A105:B105"/>
    <mergeCell ref="A106:B106"/>
    <mergeCell ref="A108:B108"/>
    <mergeCell ref="A109:B109"/>
    <mergeCell ref="A110:B110"/>
    <mergeCell ref="E102:F102"/>
    <mergeCell ref="E91:F91"/>
    <mergeCell ref="E92:F92"/>
    <mergeCell ref="E93:F93"/>
    <mergeCell ref="E94:F94"/>
    <mergeCell ref="E95:F95"/>
    <mergeCell ref="E96:F96"/>
    <mergeCell ref="E97:F97"/>
    <mergeCell ref="E98:F98"/>
    <mergeCell ref="E99:F99"/>
    <mergeCell ref="E100:F100"/>
    <mergeCell ref="E101:F101"/>
    <mergeCell ref="E90:F90"/>
    <mergeCell ref="E79:F79"/>
    <mergeCell ref="E80:F80"/>
    <mergeCell ref="E81:F81"/>
    <mergeCell ref="E82:F82"/>
    <mergeCell ref="E83:F83"/>
    <mergeCell ref="E84:F84"/>
    <mergeCell ref="E85:F85"/>
    <mergeCell ref="E86:F86"/>
    <mergeCell ref="E87:F87"/>
    <mergeCell ref="E88:F88"/>
    <mergeCell ref="E89:F89"/>
    <mergeCell ref="E78:F78"/>
    <mergeCell ref="C71:E71"/>
    <mergeCell ref="G71:J71"/>
    <mergeCell ref="C72:E72"/>
    <mergeCell ref="G72:J72"/>
    <mergeCell ref="C73:E73"/>
    <mergeCell ref="G73:J73"/>
    <mergeCell ref="C74:E74"/>
    <mergeCell ref="G74:J74"/>
    <mergeCell ref="C75:E75"/>
    <mergeCell ref="G75:J75"/>
    <mergeCell ref="E77:F77"/>
    <mergeCell ref="C68:E68"/>
    <mergeCell ref="G68:J68"/>
    <mergeCell ref="C69:E69"/>
    <mergeCell ref="G69:J69"/>
    <mergeCell ref="C70:E70"/>
    <mergeCell ref="G70:J70"/>
    <mergeCell ref="C65:E65"/>
    <mergeCell ref="G65:J65"/>
    <mergeCell ref="C66:E66"/>
    <mergeCell ref="G66:J66"/>
    <mergeCell ref="C67:E67"/>
    <mergeCell ref="G67:J67"/>
    <mergeCell ref="C62:E62"/>
    <mergeCell ref="G62:J62"/>
    <mergeCell ref="C63:E63"/>
    <mergeCell ref="G63:J63"/>
    <mergeCell ref="C64:E64"/>
    <mergeCell ref="G64:J64"/>
    <mergeCell ref="C59:E59"/>
    <mergeCell ref="G59:J59"/>
    <mergeCell ref="C60:E60"/>
    <mergeCell ref="G60:J60"/>
    <mergeCell ref="C61:E61"/>
    <mergeCell ref="G61:J61"/>
    <mergeCell ref="C56:E56"/>
    <mergeCell ref="G56:J56"/>
    <mergeCell ref="C57:E57"/>
    <mergeCell ref="G57:J57"/>
    <mergeCell ref="C58:E58"/>
    <mergeCell ref="G58:J58"/>
    <mergeCell ref="B6:F6"/>
    <mergeCell ref="A9:J9"/>
    <mergeCell ref="A53:R53"/>
    <mergeCell ref="K54:R54"/>
    <mergeCell ref="C55:E55"/>
    <mergeCell ref="G55:J55"/>
    <mergeCell ref="B5:F5"/>
    <mergeCell ref="B1:E1"/>
    <mergeCell ref="J1:K1"/>
    <mergeCell ref="B2:F2"/>
    <mergeCell ref="B3:F3"/>
    <mergeCell ref="B4:F4"/>
  </mergeCells>
  <conditionalFormatting sqref="J13:J39 J44:J51">
    <cfRule type="expression" dxfId="215" priority="127">
      <formula>$B13="nein"</formula>
    </cfRule>
  </conditionalFormatting>
  <conditionalFormatting sqref="J12 C12:I51">
    <cfRule type="expression" dxfId="214" priority="126">
      <formula>$B12="nein"</formula>
    </cfRule>
  </conditionalFormatting>
  <conditionalFormatting sqref="C16:D51 F16:F51 C23:F23">
    <cfRule type="expression" dxfId="213" priority="125">
      <formula>$B16="nein"</formula>
    </cfRule>
  </conditionalFormatting>
  <conditionalFormatting sqref="J40:J43">
    <cfRule type="expression" dxfId="212" priority="124">
      <formula>$B40="nein"</formula>
    </cfRule>
  </conditionalFormatting>
  <conditionalFormatting sqref="G12:I51">
    <cfRule type="expression" dxfId="211" priority="123">
      <formula>$B12="nein"</formula>
    </cfRule>
  </conditionalFormatting>
  <conditionalFormatting sqref="E12:E51">
    <cfRule type="expression" dxfId="210" priority="122">
      <formula>$B12="nein"</formula>
    </cfRule>
  </conditionalFormatting>
  <conditionalFormatting sqref="O105:O107 O120:O146 O109">
    <cfRule type="expression" dxfId="209" priority="64">
      <formula>O$105=0</formula>
    </cfRule>
  </conditionalFormatting>
  <conditionalFormatting sqref="P105:P114 P119:P146">
    <cfRule type="expression" dxfId="208" priority="63">
      <formula>P$105=0</formula>
    </cfRule>
  </conditionalFormatting>
  <conditionalFormatting sqref="Q105:Q146">
    <cfRule type="expression" dxfId="207" priority="62">
      <formula>Q$105=0</formula>
    </cfRule>
  </conditionalFormatting>
  <conditionalFormatting sqref="R105:R146">
    <cfRule type="expression" dxfId="206" priority="61">
      <formula>R$105=0</formula>
    </cfRule>
  </conditionalFormatting>
  <conditionalFormatting sqref="S105:S146">
    <cfRule type="expression" dxfId="205" priority="60">
      <formula>S$105=0</formula>
    </cfRule>
  </conditionalFormatting>
  <conditionalFormatting sqref="T105:T146">
    <cfRule type="expression" dxfId="204" priority="59">
      <formula>T$105=0</formula>
    </cfRule>
  </conditionalFormatting>
  <conditionalFormatting sqref="U105:U146">
    <cfRule type="expression" dxfId="203" priority="58">
      <formula>U$105=0</formula>
    </cfRule>
  </conditionalFormatting>
  <conditionalFormatting sqref="V105:V146">
    <cfRule type="expression" dxfId="202" priority="57">
      <formula>V$105=0</formula>
    </cfRule>
  </conditionalFormatting>
  <conditionalFormatting sqref="W105:W146">
    <cfRule type="expression" dxfId="201" priority="56">
      <formula>W$105=0</formula>
    </cfRule>
  </conditionalFormatting>
  <conditionalFormatting sqref="X105:X146">
    <cfRule type="expression" dxfId="200" priority="55">
      <formula>X$105=0</formula>
    </cfRule>
  </conditionalFormatting>
  <conditionalFormatting sqref="Y105:Y146">
    <cfRule type="expression" dxfId="199" priority="54">
      <formula>Y$105=0</formula>
    </cfRule>
  </conditionalFormatting>
  <conditionalFormatting sqref="Z105:Z146">
    <cfRule type="expression" dxfId="198" priority="53">
      <formula>Z$105=0</formula>
    </cfRule>
  </conditionalFormatting>
  <conditionalFormatting sqref="AA105:AA146">
    <cfRule type="expression" dxfId="197" priority="52">
      <formula>AA$105=0</formula>
    </cfRule>
  </conditionalFormatting>
  <conditionalFormatting sqref="AB105:AB146">
    <cfRule type="expression" dxfId="196" priority="51">
      <formula>AB$105=0</formula>
    </cfRule>
  </conditionalFormatting>
  <conditionalFormatting sqref="AC105:AC146">
    <cfRule type="expression" dxfId="195" priority="50">
      <formula>AC$105=0</formula>
    </cfRule>
  </conditionalFormatting>
  <conditionalFormatting sqref="AD105:AD146">
    <cfRule type="expression" dxfId="194" priority="49">
      <formula>AD$105=0</formula>
    </cfRule>
  </conditionalFormatting>
  <conditionalFormatting sqref="F56:F75">
    <cfRule type="expression" dxfId="193" priority="26">
      <formula>$L$157="-"</formula>
    </cfRule>
    <cfRule type="expression" dxfId="192" priority="121">
      <formula>$B56="nein"</formula>
    </cfRule>
  </conditionalFormatting>
  <conditionalFormatting sqref="F56:F75">
    <cfRule type="expression" dxfId="191" priority="120">
      <formula>$B56="nein"</formula>
    </cfRule>
  </conditionalFormatting>
  <conditionalFormatting sqref="C78:C85">
    <cfRule type="expression" dxfId="190" priority="119">
      <formula>$B78="nein"</formula>
    </cfRule>
  </conditionalFormatting>
  <conditionalFormatting sqref="C78:C85">
    <cfRule type="expression" dxfId="189" priority="118">
      <formula>$B78="nein"</formula>
    </cfRule>
  </conditionalFormatting>
  <conditionalFormatting sqref="C86:C103">
    <cfRule type="expression" dxfId="188" priority="117">
      <formula>$B86="nein"</formula>
    </cfRule>
  </conditionalFormatting>
  <conditionalFormatting sqref="C86:C103">
    <cfRule type="expression" dxfId="187" priority="116">
      <formula>$B86="nein"</formula>
    </cfRule>
  </conditionalFormatting>
  <conditionalFormatting sqref="AE105:AE146">
    <cfRule type="expression" dxfId="186" priority="48">
      <formula>AE$105=0</formula>
    </cfRule>
  </conditionalFormatting>
  <conditionalFormatting sqref="AF105:AF146">
    <cfRule type="expression" dxfId="185" priority="47">
      <formula>AF$105=0</formula>
    </cfRule>
  </conditionalFormatting>
  <conditionalFormatting sqref="AG105:AG146">
    <cfRule type="expression" dxfId="184" priority="46">
      <formula>AG$105=0</formula>
    </cfRule>
  </conditionalFormatting>
  <conditionalFormatting sqref="AH105:AH146">
    <cfRule type="expression" dxfId="183" priority="45">
      <formula>AH$105=0</formula>
    </cfRule>
  </conditionalFormatting>
  <conditionalFormatting sqref="AI105:AI146">
    <cfRule type="expression" dxfId="182" priority="44">
      <formula>AI$105=0</formula>
    </cfRule>
  </conditionalFormatting>
  <conditionalFormatting sqref="AJ105:AJ146">
    <cfRule type="expression" dxfId="181" priority="43">
      <formula>AJ$105=0</formula>
    </cfRule>
  </conditionalFormatting>
  <conditionalFormatting sqref="AK105:AK146">
    <cfRule type="expression" dxfId="180" priority="42">
      <formula>AK$105=0</formula>
    </cfRule>
  </conditionalFormatting>
  <conditionalFormatting sqref="AL105:AL146">
    <cfRule type="expression" dxfId="179" priority="41">
      <formula>AL$105=0</formula>
    </cfRule>
  </conditionalFormatting>
  <conditionalFormatting sqref="AM105:AM146">
    <cfRule type="expression" dxfId="178" priority="40">
      <formula>AM$105=0</formula>
    </cfRule>
  </conditionalFormatting>
  <conditionalFormatting sqref="AN105:AN146">
    <cfRule type="expression" dxfId="177" priority="39">
      <formula>AN$105=0</formula>
    </cfRule>
  </conditionalFormatting>
  <conditionalFormatting sqref="AO105:AO146">
    <cfRule type="expression" dxfId="176" priority="38">
      <formula>AO$105=0</formula>
    </cfRule>
  </conditionalFormatting>
  <conditionalFormatting sqref="AP105:AP146">
    <cfRule type="expression" dxfId="175" priority="37">
      <formula>AP$105=0</formula>
    </cfRule>
  </conditionalFormatting>
  <conditionalFormatting sqref="AQ105:AQ146">
    <cfRule type="expression" dxfId="174" priority="36">
      <formula>AQ$105=0</formula>
    </cfRule>
  </conditionalFormatting>
  <conditionalFormatting sqref="O106:AQ107 O120:AQ146 P110:AQ114 O109:AQ109 P108:AQ108 P119:AQ119 Q115:AQ118">
    <cfRule type="cellIs" dxfId="173" priority="35" operator="equal">
      <formula>"x"</formula>
    </cfRule>
  </conditionalFormatting>
  <conditionalFormatting sqref="O106:O107 O120:O146 O109">
    <cfRule type="expression" dxfId="172" priority="87" stopIfTrue="1">
      <formula>AND($A$23&lt;&gt;"",$B$23&lt;&gt;"ja")</formula>
    </cfRule>
  </conditionalFormatting>
  <conditionalFormatting sqref="P106:P114 P119:P146">
    <cfRule type="expression" dxfId="171" priority="88" stopIfTrue="1">
      <formula>AND($A$24&lt;&gt;"",$B$24&lt;&gt;"ja")</formula>
    </cfRule>
  </conditionalFormatting>
  <conditionalFormatting sqref="Q106:Q146">
    <cfRule type="expression" dxfId="170" priority="89" stopIfTrue="1">
      <formula>AND($A$25&lt;&gt;"",$B$25&lt;&gt;"ja")</formula>
    </cfRule>
  </conditionalFormatting>
  <conditionalFormatting sqref="R106:R146">
    <cfRule type="expression" dxfId="169" priority="90" stopIfTrue="1">
      <formula>AND($A$26&lt;&gt;"",$B$26&lt;&gt;"ja")</formula>
    </cfRule>
  </conditionalFormatting>
  <conditionalFormatting sqref="S106:S146">
    <cfRule type="expression" dxfId="168" priority="91" stopIfTrue="1">
      <formula>AND($A$27&lt;&gt;"",$B$27&lt;&gt;"ja")</formula>
    </cfRule>
  </conditionalFormatting>
  <conditionalFormatting sqref="T106:T146">
    <cfRule type="expression" dxfId="167" priority="92" stopIfTrue="1">
      <formula>AND($A$28&lt;&gt;"",$B$28&lt;&gt;"ja")</formula>
    </cfRule>
  </conditionalFormatting>
  <conditionalFormatting sqref="U106:U146">
    <cfRule type="expression" dxfId="166" priority="93" stopIfTrue="1">
      <formula>AND($A$29&lt;&gt;"",$B$29&lt;&gt;"ja")</formula>
    </cfRule>
  </conditionalFormatting>
  <conditionalFormatting sqref="V106:V146">
    <cfRule type="expression" dxfId="165" priority="94" stopIfTrue="1">
      <formula>AND($A$30&lt;&gt;"",$B$30&lt;&gt;"ja")</formula>
    </cfRule>
  </conditionalFormatting>
  <conditionalFormatting sqref="W106:W146">
    <cfRule type="expression" dxfId="164" priority="95" stopIfTrue="1">
      <formula>AND($A$31&lt;&gt;"",$B$31&lt;&gt;"ja")</formula>
    </cfRule>
  </conditionalFormatting>
  <conditionalFormatting sqref="X106:X146">
    <cfRule type="expression" dxfId="163" priority="96" stopIfTrue="1">
      <formula>AND($A$32&lt;&gt;"",$B$32&lt;&gt;"ja")</formula>
    </cfRule>
  </conditionalFormatting>
  <conditionalFormatting sqref="Y106:Y146">
    <cfRule type="expression" dxfId="162" priority="97" stopIfTrue="1">
      <formula>AND($A$33&lt;&gt;"",$B$33&lt;&gt;"ja")</formula>
    </cfRule>
  </conditionalFormatting>
  <conditionalFormatting sqref="Z106:Z146">
    <cfRule type="expression" dxfId="161" priority="98" stopIfTrue="1">
      <formula>AND($A$34&lt;&gt;"",$B$34&lt;&gt;"ja")</formula>
    </cfRule>
  </conditionalFormatting>
  <conditionalFormatting sqref="AA106:AA146">
    <cfRule type="expression" dxfId="160" priority="99" stopIfTrue="1">
      <formula>AND($A$35&lt;&gt;"",$B$35&lt;&gt;"ja")</formula>
    </cfRule>
  </conditionalFormatting>
  <conditionalFormatting sqref="AB106:AB146">
    <cfRule type="expression" dxfId="159" priority="100" stopIfTrue="1">
      <formula>AND($A$36&lt;&gt;"",$B$36&lt;&gt;"ja")</formula>
    </cfRule>
  </conditionalFormatting>
  <conditionalFormatting sqref="AC106:AC146">
    <cfRule type="expression" dxfId="158" priority="101" stopIfTrue="1">
      <formula>AND($A$37&lt;&gt;"",$B$37&lt;&gt;"ja")</formula>
    </cfRule>
  </conditionalFormatting>
  <conditionalFormatting sqref="AD106:AD146">
    <cfRule type="expression" dxfId="157" priority="102" stopIfTrue="1">
      <formula>AND($A$38&lt;&gt;"",$B$38&lt;&gt;"ja")</formula>
    </cfRule>
  </conditionalFormatting>
  <conditionalFormatting sqref="AE106:AE146">
    <cfRule type="expression" dxfId="156" priority="103" stopIfTrue="1">
      <formula>AND($A$39&lt;&gt;"",$B$39&lt;&gt;"ja")</formula>
    </cfRule>
  </conditionalFormatting>
  <conditionalFormatting sqref="AF106:AF146">
    <cfRule type="expression" dxfId="155" priority="104" stopIfTrue="1">
      <formula>AND($A$40&lt;&gt;"",$B$40&lt;&gt;"ja")</formula>
    </cfRule>
  </conditionalFormatting>
  <conditionalFormatting sqref="AG106:AG146">
    <cfRule type="expression" dxfId="154" priority="105" stopIfTrue="1">
      <formula>AND($A$41&lt;&gt;"",$B$41&lt;&gt;"ja")</formula>
    </cfRule>
  </conditionalFormatting>
  <conditionalFormatting sqref="AH106:AH146">
    <cfRule type="expression" dxfId="153" priority="106" stopIfTrue="1">
      <formula>AND($A$42&lt;&gt;"",$B$42&lt;&gt;"ja")</formula>
    </cfRule>
  </conditionalFormatting>
  <conditionalFormatting sqref="AI106:AI146">
    <cfRule type="expression" dxfId="152" priority="107" stopIfTrue="1">
      <formula>AND($A$43&lt;&gt;"",$B$43&lt;&gt;"ja")</formula>
    </cfRule>
  </conditionalFormatting>
  <conditionalFormatting sqref="AJ106:AJ146">
    <cfRule type="expression" dxfId="151" priority="108" stopIfTrue="1">
      <formula>AND($A$44&lt;&gt;"",$B$44&lt;&gt;"ja")</formula>
    </cfRule>
  </conditionalFormatting>
  <conditionalFormatting sqref="AK106:AK146">
    <cfRule type="expression" dxfId="150" priority="109" stopIfTrue="1">
      <formula>AND($A$45&lt;&gt;"",$B$45&lt;&gt;"ja")</formula>
    </cfRule>
  </conditionalFormatting>
  <conditionalFormatting sqref="AL106:AL146">
    <cfRule type="expression" dxfId="149" priority="110" stopIfTrue="1">
      <formula>AND($A$46&lt;&gt;"",$B$46&lt;&gt;"ja")</formula>
    </cfRule>
  </conditionalFormatting>
  <conditionalFormatting sqref="AM106:AM146">
    <cfRule type="expression" dxfId="148" priority="111" stopIfTrue="1">
      <formula>AND($A$47&lt;&gt;"",$B$47&lt;&gt;"ja")</formula>
    </cfRule>
  </conditionalFormatting>
  <conditionalFormatting sqref="AN106:AN146">
    <cfRule type="expression" dxfId="147" priority="112" stopIfTrue="1">
      <formula>AND($A$48&lt;&gt;"",$B$48&lt;&gt;"ja")</formula>
    </cfRule>
  </conditionalFormatting>
  <conditionalFormatting sqref="AO106:AO146">
    <cfRule type="expression" dxfId="146" priority="113" stopIfTrue="1">
      <formula>AND($A$49&lt;&gt;"",$B$49&lt;&gt;"ja")</formula>
    </cfRule>
  </conditionalFormatting>
  <conditionalFormatting sqref="AP106:AP146">
    <cfRule type="expression" dxfId="145" priority="114" stopIfTrue="1">
      <formula>AND($A$50&lt;&gt;"",$B$50&lt;&gt;"ja")</formula>
    </cfRule>
  </conditionalFormatting>
  <conditionalFormatting sqref="AQ106:AQ146">
    <cfRule type="expression" dxfId="144" priority="115" stopIfTrue="1">
      <formula>AND($A$51&lt;&gt;"",$B$51&lt;&gt;"ja")</formula>
    </cfRule>
  </conditionalFormatting>
  <conditionalFormatting sqref="K56:K75">
    <cfRule type="expression" dxfId="143" priority="34">
      <formula>$F56&lt;&gt;"Ja"</formula>
    </cfRule>
  </conditionalFormatting>
  <conditionalFormatting sqref="L56:L75">
    <cfRule type="expression" dxfId="142" priority="33">
      <formula>$F56&lt;&gt;"Ja"</formula>
    </cfRule>
  </conditionalFormatting>
  <conditionalFormatting sqref="M56:M75">
    <cfRule type="expression" dxfId="141" priority="32">
      <formula>$F56&lt;&gt;"Ja"</formula>
    </cfRule>
  </conditionalFormatting>
  <conditionalFormatting sqref="N56:N75">
    <cfRule type="expression" dxfId="140" priority="31">
      <formula>$F56&lt;&gt;"Ja"</formula>
    </cfRule>
  </conditionalFormatting>
  <conditionalFormatting sqref="O56:O75">
    <cfRule type="expression" dxfId="139" priority="30">
      <formula>$F56&lt;&gt;"Ja"</formula>
    </cfRule>
  </conditionalFormatting>
  <conditionalFormatting sqref="P56:P75">
    <cfRule type="expression" dxfId="138" priority="29">
      <formula>$F56&lt;&gt;"Ja"</formula>
    </cfRule>
  </conditionalFormatting>
  <conditionalFormatting sqref="Q56:Q75">
    <cfRule type="expression" dxfId="137" priority="28">
      <formula>$F56&lt;&gt;"Ja"</formula>
    </cfRule>
  </conditionalFormatting>
  <conditionalFormatting sqref="R56:R75">
    <cfRule type="expression" dxfId="136" priority="27">
      <formula>$F56&lt;&gt;"Ja"</formula>
    </cfRule>
  </conditionalFormatting>
  <conditionalFormatting sqref="C78:C103">
    <cfRule type="expression" dxfId="135" priority="25">
      <formula>$L$157="-"</formula>
    </cfRule>
  </conditionalFormatting>
  <conditionalFormatting sqref="C106:C146">
    <cfRule type="expression" dxfId="134" priority="24">
      <formula>$L$157="-"</formula>
    </cfRule>
  </conditionalFormatting>
  <conditionalFormatting sqref="H78:H91">
    <cfRule type="expression" dxfId="133" priority="23">
      <formula>$B78="nein"</formula>
    </cfRule>
  </conditionalFormatting>
  <conditionalFormatting sqref="H78:H91">
    <cfRule type="expression" dxfId="132" priority="22">
      <formula>$B78="nein"</formula>
    </cfRule>
  </conditionalFormatting>
  <conditionalFormatting sqref="H86:H103">
    <cfRule type="expression" dxfId="131" priority="21">
      <formula>$B86="nein"</formula>
    </cfRule>
  </conditionalFormatting>
  <conditionalFormatting sqref="H86:H103">
    <cfRule type="expression" dxfId="130" priority="20">
      <formula>$B86="nein"</formula>
    </cfRule>
  </conditionalFormatting>
  <conditionalFormatting sqref="H78:H103">
    <cfRule type="expression" dxfId="129" priority="19">
      <formula>$L$157="-"</formula>
    </cfRule>
  </conditionalFormatting>
  <conditionalFormatting sqref="C12:D12 F12:F37">
    <cfRule type="expression" dxfId="128" priority="18">
      <formula>$B12="nein"</formula>
    </cfRule>
  </conditionalFormatting>
  <conditionalFormatting sqref="C13">
    <cfRule type="expression" dxfId="127" priority="17">
      <formula>$B13="nein"</formula>
    </cfRule>
  </conditionalFormatting>
  <conditionalFormatting sqref="C15:C37 C23:F23">
    <cfRule type="expression" dxfId="126" priority="16">
      <formula>$B15="nein"</formula>
    </cfRule>
  </conditionalFormatting>
  <conditionalFormatting sqref="D13:D37">
    <cfRule type="expression" dxfId="125" priority="15">
      <formula>$B13="nein"</formula>
    </cfRule>
  </conditionalFormatting>
  <conditionalFormatting sqref="F105">
    <cfRule type="expression" dxfId="124" priority="14">
      <formula>F$105=0</formula>
    </cfRule>
  </conditionalFormatting>
  <conditionalFormatting sqref="G105">
    <cfRule type="expression" dxfId="123" priority="13">
      <formula>G$105=0</formula>
    </cfRule>
  </conditionalFormatting>
  <conditionalFormatting sqref="E105">
    <cfRule type="expression" dxfId="122" priority="12">
      <formula>E$105=0</formula>
    </cfRule>
  </conditionalFormatting>
  <conditionalFormatting sqref="D105">
    <cfRule type="expression" dxfId="121" priority="11">
      <formula>D$105=0</formula>
    </cfRule>
  </conditionalFormatting>
  <conditionalFormatting sqref="H105">
    <cfRule type="expression" dxfId="120" priority="10">
      <formula>H$105=0</formula>
    </cfRule>
  </conditionalFormatting>
  <conditionalFormatting sqref="I105">
    <cfRule type="expression" dxfId="119" priority="9">
      <formula>I$105=0</formula>
    </cfRule>
  </conditionalFormatting>
  <conditionalFormatting sqref="J105">
    <cfRule type="expression" dxfId="118" priority="8">
      <formula>J$105=0</formula>
    </cfRule>
  </conditionalFormatting>
  <conditionalFormatting sqref="K105">
    <cfRule type="expression" dxfId="117" priority="7">
      <formula>K$105=0</formula>
    </cfRule>
  </conditionalFormatting>
  <conditionalFormatting sqref="L105">
    <cfRule type="expression" dxfId="116" priority="6">
      <formula>L$105=0</formula>
    </cfRule>
  </conditionalFormatting>
  <conditionalFormatting sqref="M105">
    <cfRule type="expression" dxfId="115" priority="5">
      <formula>M$105=0</formula>
    </cfRule>
  </conditionalFormatting>
  <conditionalFormatting sqref="N105">
    <cfRule type="expression" dxfId="114" priority="4">
      <formula>N$105=0</formula>
    </cfRule>
  </conditionalFormatting>
  <conditionalFormatting sqref="P116:P117">
    <cfRule type="expression" dxfId="113" priority="2">
      <formula>P$105=0</formula>
    </cfRule>
  </conditionalFormatting>
  <conditionalFormatting sqref="P116:P117">
    <cfRule type="cellIs" dxfId="112" priority="1" operator="equal">
      <formula>"x"</formula>
    </cfRule>
  </conditionalFormatting>
  <conditionalFormatting sqref="P116:P117">
    <cfRule type="expression" dxfId="111" priority="3" stopIfTrue="1">
      <formula>AND($A$24&lt;&gt;"",$B$24&lt;&gt;"ja")</formula>
    </cfRule>
  </conditionalFormatting>
  <dataValidations count="5">
    <dataValidation type="list" allowBlank="1" showInputMessage="1" showErrorMessage="1" sqref="B152:G155">
      <formula1>"1,2,3"</formula1>
    </dataValidation>
    <dataValidation type="list" allowBlank="1" showErrorMessage="1" sqref="G12:G51">
      <formula1>"nicht personenbezogen, personenbezogen, besonders personenbezogen"</formula1>
    </dataValidation>
    <dataValidation type="list" allowBlank="1" showInputMessage="1" showErrorMessage="1" sqref="G78:G103 B56:B75 B12:B51 B78:B103">
      <formula1>"ja, nein"</formula1>
    </dataValidation>
    <dataValidation type="list" allowBlank="1" showInputMessage="1" showErrorMessage="1" promptTitle="Mehrfachselektion möglich" prompt="Für Mehrfachselektion bitte nacheinander über Drop-Down Werte auswählen." sqref="D106:AQ146">
      <formula1>"x"</formula1>
    </dataValidation>
    <dataValidation type="list" allowBlank="1" showInputMessage="1" showErrorMessage="1" sqref="H152:I155">
      <formula1>"1,2,3,4"</formula1>
    </dataValidation>
  </dataValidations>
  <pageMargins left="0.7" right="0.7" top="0.78740157499999996" bottom="0.78740157499999996" header="0.3" footer="0.3"/>
  <pageSetup paperSize="9" scale="56" fitToHeight="0" orientation="landscape" r:id="rId1"/>
  <extLst>
    <ext xmlns:x14="http://schemas.microsoft.com/office/spreadsheetml/2009/9/main" uri="{CCE6A557-97BC-4b89-ADB6-D9C93CAAB3DF}">
      <x14:dataValidations xmlns:xm="http://schemas.microsoft.com/office/excel/2006/main" count="8">
        <x14:dataValidation type="list" allowBlank="1" showErrorMessage="1">
          <x14:formula1>
            <xm:f>'ISM Klassifizierung'!$B$10:$B$13</xm:f>
          </x14:formula1>
          <xm:sqref>C12:F51</xm:sqref>
        </x14:dataValidation>
        <x14:dataValidation type="list" allowBlank="1" showInputMessage="1" showErrorMessage="1">
          <x14:formula1>
            <xm:f>Allgemein!$L$43:$L$82</xm:f>
          </x14:formula1>
          <xm:sqref>G56:J75</xm:sqref>
        </x14:dataValidation>
        <x14:dataValidation type="list" allowBlank="1" showInputMessage="1" showErrorMessage="1">
          <x14:formula1>
            <xm:f>Allgemein!$I$43:$I$82</xm:f>
          </x14:formula1>
          <xm:sqref>C56:E75</xm:sqref>
        </x14:dataValidation>
        <x14:dataValidation type="list" allowBlank="1" showErrorMessage="1">
          <x14:formula1>
            <xm:f>'ISM Klassifizierung'!$I$4:$I$11</xm:f>
          </x14:formula1>
          <xm:sqref>H12:H51</xm:sqref>
        </x14:dataValidation>
        <x14:dataValidation type="list" allowBlank="1" showErrorMessage="1">
          <x14:formula1>
            <xm:f>'Ressourcen DB'!$G$2:$G$3</xm:f>
          </x14:formula1>
          <xm:sqref>C78:C103 F56:F75 I12:I51 H78:H103</xm:sqref>
        </x14:dataValidation>
        <x14:dataValidation type="list" allowBlank="1" showInputMessage="1" showErrorMessage="1">
          <x14:formula1>
            <xm:f>'ISM Klassifizierung'!$K$4:$K$11</xm:f>
          </x14:formula1>
          <xm:sqref>M152:M155</xm:sqref>
        </x14:dataValidation>
        <x14:dataValidation type="list" allowBlank="1" showInputMessage="1">
          <x14:formula1>
            <xm:f>'Ressourcen DB'!$G$2:$G$3</xm:f>
          </x14:formula1>
          <xm:sqref>C106:C146</xm:sqref>
        </x14:dataValidation>
        <x14:dataValidation type="list" allowBlank="1" showInputMessage="1">
          <x14:formula1>
            <xm:f>'Software Inventar'!$C$4:$C$128</xm:f>
          </x14:formula1>
          <xm:sqref>A106:B106 A108:B146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3">
    <tabColor rgb="FF148DEA"/>
    <pageSetUpPr fitToPage="1"/>
  </sheetPr>
  <dimension ref="A1:AQ225"/>
  <sheetViews>
    <sheetView showGridLines="0" zoomScale="120" zoomScaleNormal="120" workbookViewId="0">
      <pane xSplit="1" ySplit="11" topLeftCell="B15" activePane="bottomRight" state="frozen"/>
      <selection activeCell="F13" sqref="F13:H13"/>
      <selection pane="topRight" activeCell="F13" sqref="F13:H13"/>
      <selection pane="bottomLeft" activeCell="F13" sqref="F13:H13"/>
      <selection pane="bottomRight" activeCell="I17" sqref="I17"/>
    </sheetView>
  </sheetViews>
  <sheetFormatPr baseColWidth="10" defaultColWidth="11.42578125" defaultRowHeight="12" zeroHeight="1" x14ac:dyDescent="0.2"/>
  <cols>
    <col min="1" max="1" width="36.28515625" style="13" bestFit="1" customWidth="1"/>
    <col min="2" max="4" width="13.28515625" style="13" customWidth="1"/>
    <col min="5" max="5" width="13.28515625" style="13" hidden="1" customWidth="1"/>
    <col min="6" max="6" width="13.28515625" style="13" customWidth="1"/>
    <col min="7" max="7" width="17.85546875" style="13" bestFit="1" customWidth="1"/>
    <col min="8" max="10" width="13.28515625" style="13" customWidth="1"/>
    <col min="11" max="11" width="13.28515625" style="12" customWidth="1"/>
    <col min="12" max="16" width="13.28515625" style="13" customWidth="1"/>
    <col min="17" max="44" width="20" style="13" customWidth="1"/>
    <col min="45" max="16384" width="11.42578125" style="13"/>
  </cols>
  <sheetData>
    <row r="1" spans="1:11" s="12" customFormat="1" ht="68.25" customHeight="1" x14ac:dyDescent="0.35">
      <c r="B1" s="157" t="s">
        <v>367</v>
      </c>
      <c r="C1" s="157"/>
      <c r="D1" s="157"/>
      <c r="E1" s="157"/>
      <c r="F1" s="68"/>
      <c r="G1" s="68"/>
      <c r="H1" s="68"/>
      <c r="I1" s="68"/>
      <c r="J1" s="158"/>
      <c r="K1" s="158"/>
    </row>
    <row r="2" spans="1:11" s="12" customFormat="1" x14ac:dyDescent="0.2">
      <c r="A2" s="106"/>
      <c r="B2" s="159"/>
      <c r="C2" s="159"/>
      <c r="D2" s="159"/>
      <c r="E2" s="159"/>
      <c r="F2" s="159"/>
      <c r="G2" s="14"/>
      <c r="H2" s="14"/>
      <c r="I2" s="14"/>
      <c r="J2" s="14"/>
    </row>
    <row r="3" spans="1:11" s="12" customFormat="1" x14ac:dyDescent="0.2">
      <c r="A3" s="105" t="s">
        <v>228</v>
      </c>
      <c r="B3" s="160" t="s">
        <v>342</v>
      </c>
      <c r="C3" s="161"/>
      <c r="D3" s="161"/>
      <c r="E3" s="161"/>
      <c r="F3" s="162"/>
      <c r="G3" s="14"/>
      <c r="H3" s="14"/>
      <c r="I3" s="14"/>
      <c r="J3" s="14"/>
    </row>
    <row r="4" spans="1:11" s="12" customFormat="1" x14ac:dyDescent="0.2">
      <c r="A4" s="32" t="s">
        <v>59</v>
      </c>
      <c r="B4" s="160"/>
      <c r="C4" s="161"/>
      <c r="D4" s="161"/>
      <c r="E4" s="161"/>
      <c r="F4" s="162"/>
      <c r="G4" s="14"/>
      <c r="H4" s="14"/>
      <c r="I4" s="14"/>
      <c r="J4" s="14"/>
    </row>
    <row r="5" spans="1:11" s="12" customFormat="1" x14ac:dyDescent="0.2">
      <c r="A5" s="32" t="s">
        <v>60</v>
      </c>
      <c r="B5" s="166"/>
      <c r="C5" s="166"/>
      <c r="D5" s="166"/>
      <c r="E5" s="166"/>
      <c r="F5" s="166"/>
      <c r="G5" s="14"/>
      <c r="H5" s="14"/>
      <c r="I5" s="14"/>
    </row>
    <row r="6" spans="1:11" s="12" customFormat="1" x14ac:dyDescent="0.2">
      <c r="A6" s="32" t="s">
        <v>61</v>
      </c>
      <c r="B6" s="167"/>
      <c r="C6" s="166"/>
      <c r="D6" s="166"/>
      <c r="E6" s="166"/>
      <c r="F6" s="166"/>
      <c r="G6" s="14"/>
      <c r="H6" s="14"/>
      <c r="I6" s="14"/>
    </row>
    <row r="7" spans="1:11" s="12" customFormat="1" x14ac:dyDescent="0.2"/>
    <row r="8" spans="1:11" s="12" customFormat="1" x14ac:dyDescent="0.2"/>
    <row r="9" spans="1:11" s="12" customFormat="1" ht="17.25" customHeight="1" x14ac:dyDescent="0.2">
      <c r="A9" s="168" t="s">
        <v>62</v>
      </c>
      <c r="B9" s="169"/>
      <c r="C9" s="169"/>
      <c r="D9" s="169"/>
      <c r="E9" s="169"/>
      <c r="F9" s="169"/>
      <c r="G9" s="169"/>
      <c r="H9" s="169"/>
      <c r="I9" s="169"/>
      <c r="J9" s="170"/>
    </row>
    <row r="10" spans="1:11" s="12" customFormat="1" ht="18" customHeight="1" x14ac:dyDescent="0.2"/>
    <row r="11" spans="1:11" s="12" customFormat="1" ht="30.75" customHeight="1" x14ac:dyDescent="0.2">
      <c r="A11" s="74" t="s">
        <v>54</v>
      </c>
      <c r="B11" s="82" t="s">
        <v>63</v>
      </c>
      <c r="C11" s="74" t="s">
        <v>64</v>
      </c>
      <c r="D11" s="74" t="s">
        <v>65</v>
      </c>
      <c r="E11" s="103" t="s">
        <v>227</v>
      </c>
      <c r="F11" s="74" t="s">
        <v>67</v>
      </c>
      <c r="G11" s="74" t="s">
        <v>68</v>
      </c>
      <c r="H11" s="74"/>
      <c r="I11" s="74"/>
      <c r="J11" s="74" t="s">
        <v>70</v>
      </c>
    </row>
    <row r="12" spans="1:11" s="12" customFormat="1" x14ac:dyDescent="0.2">
      <c r="A12" s="15" t="str">
        <f>IF(Allgemein!C43=0,"",Allgemein!C43)</f>
        <v>Arbeitsergebnisse</v>
      </c>
      <c r="B12" s="28" t="s">
        <v>353</v>
      </c>
      <c r="C12" s="28"/>
      <c r="D12" s="28"/>
      <c r="E12" s="104"/>
      <c r="F12" s="28"/>
      <c r="G12" s="28"/>
      <c r="H12" s="28"/>
      <c r="I12" s="28"/>
      <c r="J12" s="83"/>
      <c r="K12" s="16"/>
    </row>
    <row r="13" spans="1:11" s="12" customFormat="1" ht="11.45" customHeight="1" x14ac:dyDescent="0.2">
      <c r="A13" s="15" t="str">
        <f>IF(Allgemein!C44=0,"",Allgemein!C44)</f>
        <v>Projektdokumentation</v>
      </c>
      <c r="B13" s="28" t="s">
        <v>343</v>
      </c>
      <c r="C13" s="28" t="s">
        <v>262</v>
      </c>
      <c r="D13" s="28" t="s">
        <v>262</v>
      </c>
      <c r="E13" s="104"/>
      <c r="F13" s="28" t="s">
        <v>262</v>
      </c>
      <c r="G13" s="28" t="s">
        <v>356</v>
      </c>
      <c r="H13" s="28"/>
      <c r="I13" s="28"/>
      <c r="J13" s="83"/>
      <c r="K13" s="16"/>
    </row>
    <row r="14" spans="1:11" s="12" customFormat="1" ht="24" x14ac:dyDescent="0.2">
      <c r="A14" s="15" t="str">
        <f>IF(Allgemein!C45=0,"",Allgemein!C45)</f>
        <v>IT-System- und Dokumentenmanagement</v>
      </c>
      <c r="B14" s="28" t="s">
        <v>343</v>
      </c>
      <c r="C14" s="28" t="s">
        <v>263</v>
      </c>
      <c r="D14" s="28" t="s">
        <v>263</v>
      </c>
      <c r="E14" s="104"/>
      <c r="F14" s="28" t="s">
        <v>262</v>
      </c>
      <c r="G14" s="28" t="s">
        <v>356</v>
      </c>
      <c r="H14" s="28"/>
      <c r="I14" s="28"/>
      <c r="J14" s="83"/>
      <c r="K14" s="16"/>
    </row>
    <row r="15" spans="1:11" s="12" customFormat="1" ht="24" x14ac:dyDescent="0.2">
      <c r="A15" s="15" t="str">
        <f>IF(Allgemein!C46=0,"",Allgemein!C46)</f>
        <v>Altprojektdatenbank</v>
      </c>
      <c r="B15" s="28" t="s">
        <v>343</v>
      </c>
      <c r="C15" s="28" t="s">
        <v>262</v>
      </c>
      <c r="D15" s="28" t="s">
        <v>262</v>
      </c>
      <c r="E15" s="104"/>
      <c r="F15" s="28" t="s">
        <v>262</v>
      </c>
      <c r="G15" s="28" t="s">
        <v>356</v>
      </c>
      <c r="H15" s="28"/>
      <c r="I15" s="28"/>
      <c r="J15" s="83"/>
      <c r="K15" s="16"/>
    </row>
    <row r="16" spans="1:11" s="12" customFormat="1" ht="24" x14ac:dyDescent="0.2">
      <c r="A16" s="15" t="str">
        <f>IF(Allgemein!C47=0,"",Allgemein!C47)</f>
        <v>Projektfeinplanung (Arbeitspakete - Git Tickets)</v>
      </c>
      <c r="B16" s="28" t="s">
        <v>343</v>
      </c>
      <c r="C16" s="28" t="s">
        <v>262</v>
      </c>
      <c r="D16" s="28" t="s">
        <v>262</v>
      </c>
      <c r="E16" s="104"/>
      <c r="F16" s="28" t="s">
        <v>262</v>
      </c>
      <c r="G16" s="28" t="s">
        <v>356</v>
      </c>
      <c r="H16" s="28"/>
      <c r="I16" s="28"/>
      <c r="J16" s="28"/>
      <c r="K16" s="16"/>
    </row>
    <row r="17" spans="1:11" s="12" customFormat="1" x14ac:dyDescent="0.2">
      <c r="A17" s="15" t="str">
        <f>IF(Allgemein!C48=0,"",Allgemein!C48)</f>
        <v>Projektgrobplanung</v>
      </c>
      <c r="B17" s="28" t="s">
        <v>353</v>
      </c>
      <c r="C17" s="28"/>
      <c r="D17" s="28"/>
      <c r="E17" s="104"/>
      <c r="F17" s="28"/>
      <c r="G17" s="28"/>
      <c r="H17" s="28"/>
      <c r="I17" s="28"/>
      <c r="J17" s="28"/>
      <c r="K17" s="16"/>
    </row>
    <row r="18" spans="1:11" s="12" customFormat="1" x14ac:dyDescent="0.2">
      <c r="A18" s="15" t="str">
        <f>IF(Allgemein!C49=0,"",Allgemein!C49)</f>
        <v>Rechnungsmanagement</v>
      </c>
      <c r="B18" s="28" t="s">
        <v>353</v>
      </c>
      <c r="C18" s="28"/>
      <c r="D18" s="28"/>
      <c r="E18" s="104"/>
      <c r="F18" s="28"/>
      <c r="G18" s="28"/>
      <c r="H18" s="28"/>
      <c r="I18" s="28"/>
      <c r="J18" s="28"/>
      <c r="K18" s="16"/>
    </row>
    <row r="19" spans="1:11" s="12" customFormat="1" x14ac:dyDescent="0.2">
      <c r="A19" s="15" t="str">
        <f>IF(Allgemein!C50=0,"",Allgemein!C50)</f>
        <v>Projektbasierte Risikoanalyse</v>
      </c>
      <c r="B19" s="28" t="s">
        <v>353</v>
      </c>
      <c r="C19" s="28"/>
      <c r="D19" s="28"/>
      <c r="E19" s="104"/>
      <c r="F19" s="28"/>
      <c r="G19" s="28"/>
      <c r="H19" s="28"/>
      <c r="I19" s="28"/>
      <c r="J19" s="28"/>
      <c r="K19" s="16"/>
    </row>
    <row r="20" spans="1:11" s="12" customFormat="1" ht="24" x14ac:dyDescent="0.2">
      <c r="A20" s="15" t="str">
        <f>IF(Allgemein!C51=0,"",Allgemein!C51)</f>
        <v>Wiki Wissensdatenbank</v>
      </c>
      <c r="B20" s="28" t="s">
        <v>343</v>
      </c>
      <c r="C20" s="28" t="s">
        <v>262</v>
      </c>
      <c r="D20" s="28" t="s">
        <v>262</v>
      </c>
      <c r="E20" s="104"/>
      <c r="F20" s="28" t="s">
        <v>262</v>
      </c>
      <c r="G20" s="28" t="s">
        <v>356</v>
      </c>
      <c r="H20" s="28"/>
      <c r="I20" s="28"/>
      <c r="J20" s="28"/>
      <c r="K20" s="16"/>
    </row>
    <row r="21" spans="1:11" s="12" customFormat="1" x14ac:dyDescent="0.2">
      <c r="A21" s="15" t="str">
        <f>IF(Allgemein!C52=0,"",Allgemein!C52)</f>
        <v>Source Code</v>
      </c>
      <c r="B21" s="28" t="s">
        <v>353</v>
      </c>
      <c r="C21" s="28"/>
      <c r="D21" s="28"/>
      <c r="E21" s="104"/>
      <c r="F21" s="28"/>
      <c r="G21" s="28"/>
      <c r="H21" s="28"/>
      <c r="I21" s="28"/>
      <c r="J21" s="28"/>
      <c r="K21" s="16"/>
    </row>
    <row r="22" spans="1:11" s="12" customFormat="1" ht="24" x14ac:dyDescent="0.2">
      <c r="A22" s="15" t="str">
        <f>IF(Allgemein!C53=0,"",Allgemein!C53)</f>
        <v>Missionsdaten</v>
      </c>
      <c r="B22" s="28" t="s">
        <v>343</v>
      </c>
      <c r="C22" s="28" t="s">
        <v>262</v>
      </c>
      <c r="D22" s="28" t="s">
        <v>263</v>
      </c>
      <c r="E22" s="104"/>
      <c r="F22" s="28" t="s">
        <v>263</v>
      </c>
      <c r="G22" s="28" t="s">
        <v>356</v>
      </c>
      <c r="H22" s="28"/>
      <c r="I22" s="28"/>
      <c r="J22" s="28"/>
      <c r="K22" s="16"/>
    </row>
    <row r="23" spans="1:11" s="12" customFormat="1" x14ac:dyDescent="0.2">
      <c r="A23" s="15" t="str">
        <f>IF(Allgemein!C54=0,"",Allgemein!C54)</f>
        <v>Schlüsselmaterial Mission</v>
      </c>
      <c r="B23" s="28"/>
      <c r="C23" s="28"/>
      <c r="D23" s="28"/>
      <c r="E23" s="104"/>
      <c r="F23" s="28"/>
      <c r="G23" s="28"/>
      <c r="H23" s="28"/>
      <c r="I23" s="28"/>
      <c r="J23" s="28"/>
      <c r="K23" s="16"/>
    </row>
    <row r="24" spans="1:11" s="12" customFormat="1" x14ac:dyDescent="0.2">
      <c r="A24" s="15" t="str">
        <f>IF(Allgemein!C55=0,"",Allgemein!C55)</f>
        <v/>
      </c>
      <c r="B24" s="28"/>
      <c r="C24" s="28"/>
      <c r="D24" s="28"/>
      <c r="E24" s="104"/>
      <c r="F24" s="28"/>
      <c r="G24" s="28"/>
      <c r="H24" s="28"/>
      <c r="I24" s="28"/>
      <c r="J24" s="28"/>
      <c r="K24" s="16"/>
    </row>
    <row r="25" spans="1:11" s="12" customFormat="1" x14ac:dyDescent="0.2">
      <c r="A25" s="15" t="str">
        <f>IF(Allgemein!C56=0,"",Allgemein!C56)</f>
        <v/>
      </c>
      <c r="B25" s="28"/>
      <c r="C25" s="28"/>
      <c r="D25" s="28"/>
      <c r="E25" s="104"/>
      <c r="F25" s="28"/>
      <c r="G25" s="28"/>
      <c r="H25" s="28"/>
      <c r="I25" s="28"/>
      <c r="J25" s="28"/>
      <c r="K25" s="16"/>
    </row>
    <row r="26" spans="1:11" s="12" customFormat="1" x14ac:dyDescent="0.2">
      <c r="A26" s="15" t="str">
        <f>IF(Allgemein!C57=0,"",Allgemein!C57)</f>
        <v/>
      </c>
      <c r="B26" s="28"/>
      <c r="C26" s="28"/>
      <c r="D26" s="28"/>
      <c r="E26" s="104"/>
      <c r="F26" s="28"/>
      <c r="G26" s="28"/>
      <c r="H26" s="28"/>
      <c r="I26" s="28"/>
      <c r="J26" s="28"/>
      <c r="K26" s="16"/>
    </row>
    <row r="27" spans="1:11" s="12" customFormat="1" hidden="1" x14ac:dyDescent="0.2">
      <c r="A27" s="15" t="str">
        <f>IF(Allgemein!C58=0,"",Allgemein!C58)</f>
        <v/>
      </c>
      <c r="B27" s="28"/>
      <c r="C27" s="28"/>
      <c r="D27" s="28"/>
      <c r="E27" s="104"/>
      <c r="F27" s="28"/>
      <c r="G27" s="28"/>
      <c r="H27" s="28"/>
      <c r="I27" s="28"/>
      <c r="J27" s="28"/>
      <c r="K27" s="16"/>
    </row>
    <row r="28" spans="1:11" s="12" customFormat="1" hidden="1" x14ac:dyDescent="0.2">
      <c r="A28" s="15" t="str">
        <f>IF(Allgemein!C59=0,"",Allgemein!C59)</f>
        <v/>
      </c>
      <c r="B28" s="28"/>
      <c r="C28" s="28"/>
      <c r="D28" s="28"/>
      <c r="E28" s="104"/>
      <c r="F28" s="28"/>
      <c r="G28" s="28"/>
      <c r="H28" s="28"/>
      <c r="I28" s="28"/>
      <c r="J28" s="28"/>
      <c r="K28" s="16"/>
    </row>
    <row r="29" spans="1:11" s="12" customFormat="1" hidden="1" x14ac:dyDescent="0.2">
      <c r="A29" s="15" t="str">
        <f>IF(Allgemein!C60=0,"",Allgemein!C60)</f>
        <v/>
      </c>
      <c r="B29" s="28"/>
      <c r="C29" s="28"/>
      <c r="D29" s="28"/>
      <c r="E29" s="104"/>
      <c r="F29" s="28"/>
      <c r="G29" s="28"/>
      <c r="H29" s="28"/>
      <c r="I29" s="28"/>
      <c r="J29" s="28"/>
      <c r="K29" s="16"/>
    </row>
    <row r="30" spans="1:11" s="12" customFormat="1" hidden="1" x14ac:dyDescent="0.2">
      <c r="A30" s="15" t="str">
        <f>IF(Allgemein!C61=0,"",Allgemein!C61)</f>
        <v/>
      </c>
      <c r="B30" s="28"/>
      <c r="C30" s="28"/>
      <c r="D30" s="28"/>
      <c r="E30" s="104"/>
      <c r="F30" s="28"/>
      <c r="G30" s="28"/>
      <c r="H30" s="28"/>
      <c r="I30" s="28"/>
      <c r="J30" s="28"/>
      <c r="K30" s="16"/>
    </row>
    <row r="31" spans="1:11" s="12" customFormat="1" hidden="1" x14ac:dyDescent="0.2">
      <c r="A31" s="15" t="str">
        <f>IF(Allgemein!C62=0,"",Allgemein!C62)</f>
        <v/>
      </c>
      <c r="B31" s="28"/>
      <c r="C31" s="28"/>
      <c r="D31" s="28"/>
      <c r="E31" s="104"/>
      <c r="F31" s="28"/>
      <c r="G31" s="28"/>
      <c r="H31" s="28"/>
      <c r="I31" s="28"/>
      <c r="J31" s="28"/>
      <c r="K31" s="16"/>
    </row>
    <row r="32" spans="1:11" s="12" customFormat="1" hidden="1" x14ac:dyDescent="0.2">
      <c r="A32" s="15" t="str">
        <f>IF(Allgemein!C63=0,"",Allgemein!C63)</f>
        <v/>
      </c>
      <c r="B32" s="28"/>
      <c r="C32" s="28"/>
      <c r="D32" s="28"/>
      <c r="E32" s="104"/>
      <c r="F32" s="28"/>
      <c r="G32" s="28"/>
      <c r="H32" s="28"/>
      <c r="I32" s="28"/>
      <c r="J32" s="28"/>
      <c r="K32" s="16"/>
    </row>
    <row r="33" spans="1:11" s="12" customFormat="1" hidden="1" x14ac:dyDescent="0.2">
      <c r="A33" s="15" t="str">
        <f>IF(Allgemein!C64=0,"",Allgemein!C64)</f>
        <v/>
      </c>
      <c r="B33" s="28"/>
      <c r="C33" s="28"/>
      <c r="D33" s="28"/>
      <c r="E33" s="104"/>
      <c r="F33" s="28"/>
      <c r="G33" s="28"/>
      <c r="H33" s="28"/>
      <c r="I33" s="28"/>
      <c r="J33" s="28"/>
      <c r="K33" s="16"/>
    </row>
    <row r="34" spans="1:11" s="12" customFormat="1" hidden="1" x14ac:dyDescent="0.2">
      <c r="A34" s="15" t="str">
        <f>IF(Allgemein!C65=0,"",Allgemein!C65)</f>
        <v/>
      </c>
      <c r="B34" s="28"/>
      <c r="C34" s="28"/>
      <c r="D34" s="28"/>
      <c r="E34" s="104"/>
      <c r="F34" s="28"/>
      <c r="G34" s="28"/>
      <c r="H34" s="28"/>
      <c r="I34" s="28"/>
      <c r="J34" s="28"/>
      <c r="K34" s="16"/>
    </row>
    <row r="35" spans="1:11" s="12" customFormat="1" hidden="1" x14ac:dyDescent="0.2">
      <c r="A35" s="15" t="str">
        <f>IF(Allgemein!C66=0,"",Allgemein!C66)</f>
        <v/>
      </c>
      <c r="B35" s="28"/>
      <c r="C35" s="28"/>
      <c r="D35" s="28"/>
      <c r="E35" s="104"/>
      <c r="F35" s="28"/>
      <c r="G35" s="28"/>
      <c r="H35" s="28"/>
      <c r="I35" s="28"/>
      <c r="J35" s="28"/>
      <c r="K35" s="16"/>
    </row>
    <row r="36" spans="1:11" s="12" customFormat="1" ht="11.45" hidden="1" customHeight="1" x14ac:dyDescent="0.2">
      <c r="A36" s="15" t="str">
        <f>IF(Allgemein!C67=0,"",Allgemein!C67)</f>
        <v/>
      </c>
      <c r="B36" s="28"/>
      <c r="C36" s="28"/>
      <c r="D36" s="28"/>
      <c r="E36" s="104"/>
      <c r="F36" s="28"/>
      <c r="G36" s="28"/>
      <c r="H36" s="28"/>
      <c r="I36" s="28"/>
      <c r="J36" s="28"/>
      <c r="K36" s="16"/>
    </row>
    <row r="37" spans="1:11" s="12" customFormat="1" ht="11.45" hidden="1" customHeight="1" x14ac:dyDescent="0.2">
      <c r="A37" s="15" t="str">
        <f>IF(Allgemein!C68=0,"",Allgemein!C68)</f>
        <v/>
      </c>
      <c r="B37" s="28"/>
      <c r="C37" s="28"/>
      <c r="D37" s="28"/>
      <c r="E37" s="104"/>
      <c r="F37" s="28"/>
      <c r="G37" s="28"/>
      <c r="H37" s="28"/>
      <c r="I37" s="28"/>
      <c r="J37" s="28"/>
      <c r="K37" s="16"/>
    </row>
    <row r="38" spans="1:11" s="12" customFormat="1" hidden="1" x14ac:dyDescent="0.2">
      <c r="A38" s="15" t="str">
        <f>IF(Allgemein!C69=0,"",Allgemein!C69)</f>
        <v/>
      </c>
      <c r="B38" s="28"/>
      <c r="C38" s="28"/>
      <c r="D38" s="28"/>
      <c r="E38" s="104"/>
      <c r="F38" s="28"/>
      <c r="G38" s="28"/>
      <c r="H38" s="28"/>
      <c r="I38" s="28"/>
      <c r="J38" s="28"/>
    </row>
    <row r="39" spans="1:11" s="12" customFormat="1" hidden="1" x14ac:dyDescent="0.2">
      <c r="A39" s="15" t="str">
        <f>IF(Allgemein!C70=0,"",Allgemein!C70)</f>
        <v/>
      </c>
      <c r="B39" s="28"/>
      <c r="C39" s="28"/>
      <c r="D39" s="28"/>
      <c r="E39" s="104"/>
      <c r="F39" s="28"/>
      <c r="G39" s="28"/>
      <c r="H39" s="28"/>
      <c r="I39" s="28"/>
      <c r="J39" s="28"/>
    </row>
    <row r="40" spans="1:11" s="12" customFormat="1" hidden="1" x14ac:dyDescent="0.2">
      <c r="A40" s="15" t="str">
        <f>IF(Allgemein!C71=0,"",Allgemein!C71)</f>
        <v/>
      </c>
      <c r="B40" s="28"/>
      <c r="C40" s="28"/>
      <c r="D40" s="28"/>
      <c r="E40" s="104"/>
      <c r="F40" s="28"/>
      <c r="G40" s="28"/>
      <c r="H40" s="28"/>
      <c r="I40" s="28"/>
      <c r="J40" s="28"/>
    </row>
    <row r="41" spans="1:11" s="12" customFormat="1" ht="11.45" hidden="1" customHeight="1" x14ac:dyDescent="0.2">
      <c r="A41" s="15" t="str">
        <f>IF(Allgemein!C72=0,"",Allgemein!C72)</f>
        <v/>
      </c>
      <c r="B41" s="28"/>
      <c r="C41" s="28"/>
      <c r="D41" s="28"/>
      <c r="E41" s="104"/>
      <c r="F41" s="28"/>
      <c r="G41" s="28"/>
      <c r="H41" s="28"/>
      <c r="I41" s="28"/>
      <c r="J41" s="28"/>
    </row>
    <row r="42" spans="1:11" s="12" customFormat="1" ht="11.45" hidden="1" customHeight="1" x14ac:dyDescent="0.2">
      <c r="A42" s="15" t="str">
        <f>IF(Allgemein!C73=0,"",Allgemein!C73)</f>
        <v/>
      </c>
      <c r="B42" s="28"/>
      <c r="C42" s="28"/>
      <c r="D42" s="28"/>
      <c r="E42" s="104"/>
      <c r="F42" s="28"/>
      <c r="G42" s="28"/>
      <c r="H42" s="28"/>
      <c r="I42" s="28"/>
      <c r="J42" s="28"/>
    </row>
    <row r="43" spans="1:11" s="12" customFormat="1" ht="11.45" hidden="1" customHeight="1" x14ac:dyDescent="0.2">
      <c r="A43" s="15" t="str">
        <f>IF(Allgemein!C74=0,"",Allgemein!C74)</f>
        <v/>
      </c>
      <c r="B43" s="28"/>
      <c r="C43" s="28"/>
      <c r="D43" s="28"/>
      <c r="E43" s="104"/>
      <c r="F43" s="28"/>
      <c r="G43" s="28"/>
      <c r="H43" s="28"/>
      <c r="I43" s="28"/>
      <c r="J43" s="28"/>
    </row>
    <row r="44" spans="1:11" s="12" customFormat="1" ht="11.45" hidden="1" customHeight="1" x14ac:dyDescent="0.2">
      <c r="A44" s="15" t="str">
        <f>IF(Allgemein!C75=0,"",Allgemein!C75)</f>
        <v/>
      </c>
      <c r="B44" s="28"/>
      <c r="C44" s="28"/>
      <c r="D44" s="28"/>
      <c r="E44" s="104"/>
      <c r="F44" s="28"/>
      <c r="G44" s="28"/>
      <c r="H44" s="28"/>
      <c r="I44" s="28"/>
      <c r="J44" s="28"/>
    </row>
    <row r="45" spans="1:11" s="12" customFormat="1" ht="11.45" hidden="1" customHeight="1" x14ac:dyDescent="0.2">
      <c r="A45" s="15" t="str">
        <f>IF(Allgemein!C76=0,"",Allgemein!C76)</f>
        <v/>
      </c>
      <c r="B45" s="28"/>
      <c r="C45" s="28"/>
      <c r="D45" s="28"/>
      <c r="E45" s="104"/>
      <c r="F45" s="28"/>
      <c r="G45" s="28"/>
      <c r="H45" s="28"/>
      <c r="I45" s="28"/>
      <c r="J45" s="28"/>
    </row>
    <row r="46" spans="1:11" s="12" customFormat="1" ht="11.45" hidden="1" customHeight="1" x14ac:dyDescent="0.2">
      <c r="A46" s="15" t="str">
        <f>IF(Allgemein!C77=0,"",Allgemein!C77)</f>
        <v/>
      </c>
      <c r="B46" s="28"/>
      <c r="C46" s="28"/>
      <c r="D46" s="28"/>
      <c r="E46" s="104"/>
      <c r="F46" s="28"/>
      <c r="G46" s="28"/>
      <c r="H46" s="28"/>
      <c r="I46" s="28"/>
      <c r="J46" s="28"/>
    </row>
    <row r="47" spans="1:11" s="12" customFormat="1" ht="11.45" hidden="1" customHeight="1" x14ac:dyDescent="0.2">
      <c r="A47" s="15" t="str">
        <f>IF(Allgemein!C78=0,"",Allgemein!C78)</f>
        <v/>
      </c>
      <c r="B47" s="28"/>
      <c r="C47" s="28"/>
      <c r="D47" s="28"/>
      <c r="E47" s="104"/>
      <c r="F47" s="28"/>
      <c r="G47" s="28"/>
      <c r="H47" s="28"/>
      <c r="I47" s="28"/>
      <c r="J47" s="28"/>
    </row>
    <row r="48" spans="1:11" s="12" customFormat="1" ht="11.45" hidden="1" customHeight="1" x14ac:dyDescent="0.2">
      <c r="A48" s="15" t="str">
        <f>IF(Allgemein!C79=0,"",Allgemein!C79)</f>
        <v/>
      </c>
      <c r="B48" s="28"/>
      <c r="C48" s="28"/>
      <c r="D48" s="28"/>
      <c r="E48" s="104"/>
      <c r="F48" s="28"/>
      <c r="G48" s="28"/>
      <c r="H48" s="28"/>
      <c r="I48" s="28"/>
      <c r="J48" s="28"/>
    </row>
    <row r="49" spans="1:18" s="12" customFormat="1" ht="11.45" hidden="1" customHeight="1" x14ac:dyDescent="0.2">
      <c r="A49" s="15" t="str">
        <f>IF(Allgemein!C80=0,"",Allgemein!C80)</f>
        <v/>
      </c>
      <c r="B49" s="28"/>
      <c r="C49" s="28"/>
      <c r="D49" s="28"/>
      <c r="E49" s="104"/>
      <c r="F49" s="28"/>
      <c r="G49" s="28"/>
      <c r="H49" s="28"/>
      <c r="I49" s="28"/>
      <c r="J49" s="28"/>
    </row>
    <row r="50" spans="1:18" s="12" customFormat="1" ht="11.45" hidden="1" customHeight="1" x14ac:dyDescent="0.2">
      <c r="A50" s="15" t="str">
        <f>IF(Allgemein!C81=0,"",Allgemein!C81)</f>
        <v/>
      </c>
      <c r="B50" s="28"/>
      <c r="C50" s="28"/>
      <c r="D50" s="28"/>
      <c r="E50" s="104"/>
      <c r="F50" s="28"/>
      <c r="G50" s="28"/>
      <c r="H50" s="28"/>
      <c r="I50" s="28"/>
      <c r="J50" s="28"/>
    </row>
    <row r="51" spans="1:18" s="12" customFormat="1" ht="11.45" hidden="1" customHeight="1" x14ac:dyDescent="0.2">
      <c r="A51" s="15" t="str">
        <f>IF(Allgemein!C82=0,"",Allgemein!C82)</f>
        <v/>
      </c>
      <c r="B51" s="28"/>
      <c r="C51" s="28"/>
      <c r="D51" s="28"/>
      <c r="E51" s="104"/>
      <c r="F51" s="28"/>
      <c r="G51" s="28"/>
      <c r="H51" s="28"/>
      <c r="I51" s="28"/>
      <c r="J51" s="28"/>
    </row>
    <row r="52" spans="1:18" s="12" customFormat="1" x14ac:dyDescent="0.2"/>
    <row r="53" spans="1:18" s="12" customFormat="1" ht="18" customHeight="1" x14ac:dyDescent="0.2">
      <c r="A53" s="171" t="s">
        <v>76</v>
      </c>
      <c r="B53" s="171"/>
      <c r="C53" s="171"/>
      <c r="D53" s="171"/>
      <c r="E53" s="171"/>
      <c r="F53" s="171"/>
      <c r="G53" s="171"/>
      <c r="H53" s="171"/>
      <c r="I53" s="171"/>
      <c r="J53" s="171"/>
      <c r="K53" s="171"/>
      <c r="L53" s="171"/>
      <c r="M53" s="171"/>
      <c r="N53" s="171"/>
      <c r="O53" s="171"/>
      <c r="P53" s="171"/>
      <c r="Q53" s="171"/>
      <c r="R53" s="171"/>
    </row>
    <row r="54" spans="1:18" s="12" customFormat="1" ht="18" customHeight="1" x14ac:dyDescent="0.2">
      <c r="K54" s="172"/>
      <c r="L54" s="172"/>
      <c r="M54" s="172"/>
      <c r="N54" s="172"/>
      <c r="O54" s="172"/>
      <c r="P54" s="172"/>
      <c r="Q54" s="172"/>
      <c r="R54" s="172"/>
    </row>
    <row r="55" spans="1:18" s="12" customFormat="1" ht="24" hidden="1" x14ac:dyDescent="0.2">
      <c r="A55" s="74" t="s">
        <v>55</v>
      </c>
      <c r="B55" s="82" t="s">
        <v>63</v>
      </c>
      <c r="C55" s="153" t="s">
        <v>77</v>
      </c>
      <c r="D55" s="154"/>
      <c r="E55" s="155"/>
      <c r="F55" s="74"/>
      <c r="G55" s="153" t="s">
        <v>78</v>
      </c>
      <c r="H55" s="154"/>
      <c r="I55" s="154"/>
      <c r="J55" s="155"/>
      <c r="K55" s="74" t="str">
        <f>B151</f>
        <v>≤ 1 d</v>
      </c>
      <c r="L55" s="74" t="str">
        <f t="shared" ref="L55:R55" si="0">C151</f>
        <v>≤ 3 d</v>
      </c>
      <c r="M55" s="74" t="str">
        <f t="shared" si="0"/>
        <v>≤ 7 d</v>
      </c>
      <c r="N55" s="74" t="str">
        <f t="shared" si="0"/>
        <v>≤ 7 d</v>
      </c>
      <c r="O55" s="74" t="str">
        <f t="shared" si="0"/>
        <v>≤ 14 d</v>
      </c>
      <c r="P55" s="74">
        <f t="shared" si="0"/>
        <v>0</v>
      </c>
      <c r="Q55" s="74" t="str">
        <f t="shared" si="0"/>
        <v/>
      </c>
      <c r="R55" s="74" t="str">
        <f t="shared" si="0"/>
        <v/>
      </c>
    </row>
    <row r="56" spans="1:18" s="12" customFormat="1" hidden="1" x14ac:dyDescent="0.2">
      <c r="A56" s="15" t="str">
        <f>IF(Allgemein!F43=0,"",Allgemein!F43)</f>
        <v>Technische Universität Berlin</v>
      </c>
      <c r="B56" s="28"/>
      <c r="C56" s="163"/>
      <c r="D56" s="164"/>
      <c r="E56" s="165"/>
      <c r="F56" s="28"/>
      <c r="G56" s="163"/>
      <c r="H56" s="164"/>
      <c r="I56" s="164"/>
      <c r="J56" s="165"/>
      <c r="K56" s="77"/>
      <c r="L56" s="77"/>
      <c r="M56" s="77"/>
      <c r="N56" s="77"/>
      <c r="O56" s="77"/>
      <c r="P56" s="77"/>
      <c r="Q56" s="77"/>
      <c r="R56" s="77"/>
    </row>
    <row r="57" spans="1:18" s="12" customFormat="1" ht="12" hidden="1" customHeight="1" x14ac:dyDescent="0.2">
      <c r="A57" s="15" t="str">
        <f>IF(Allgemein!F44=0,"",Allgemein!F44)</f>
        <v>Deutsches Luft- und Raumfahrtzentrum</v>
      </c>
      <c r="B57" s="28"/>
      <c r="C57" s="163"/>
      <c r="D57" s="164"/>
      <c r="E57" s="165"/>
      <c r="F57" s="28"/>
      <c r="G57" s="163"/>
      <c r="H57" s="164"/>
      <c r="I57" s="164"/>
      <c r="J57" s="165"/>
      <c r="K57" s="77"/>
      <c r="L57" s="77"/>
      <c r="M57" s="77"/>
      <c r="N57" s="77"/>
      <c r="O57" s="77"/>
      <c r="P57" s="77"/>
      <c r="Q57" s="77"/>
      <c r="R57" s="77"/>
    </row>
    <row r="58" spans="1:18" s="12" customFormat="1" ht="24" hidden="1" x14ac:dyDescent="0.2">
      <c r="A58" s="15" t="str">
        <f>IF(Allgemein!F45=0,"",Allgemein!F45)</f>
        <v>Deutsches Zentrum für Satelliten-Kommunikation</v>
      </c>
      <c r="B58" s="28"/>
      <c r="C58" s="163"/>
      <c r="D58" s="164"/>
      <c r="E58" s="165"/>
      <c r="F58" s="28"/>
      <c r="G58" s="163"/>
      <c r="H58" s="164"/>
      <c r="I58" s="164"/>
      <c r="J58" s="165"/>
      <c r="K58" s="77"/>
      <c r="L58" s="77"/>
      <c r="M58" s="77"/>
      <c r="N58" s="77"/>
      <c r="O58" s="77"/>
      <c r="P58" s="77"/>
      <c r="Q58" s="77"/>
      <c r="R58" s="77"/>
    </row>
    <row r="59" spans="1:18" s="12" customFormat="1" hidden="1" x14ac:dyDescent="0.2">
      <c r="A59" s="15" t="str">
        <f>IF(Allgemein!F46=0,"",Allgemein!F46)</f>
        <v>bdew/Vattenfall</v>
      </c>
      <c r="B59" s="28"/>
      <c r="C59" s="163"/>
      <c r="D59" s="164"/>
      <c r="E59" s="165"/>
      <c r="F59" s="28"/>
      <c r="G59" s="163"/>
      <c r="H59" s="164"/>
      <c r="I59" s="164"/>
      <c r="J59" s="165"/>
      <c r="K59" s="77"/>
      <c r="L59" s="77"/>
      <c r="M59" s="77"/>
      <c r="N59" s="77"/>
      <c r="O59" s="77"/>
      <c r="P59" s="77"/>
      <c r="Q59" s="77"/>
      <c r="R59" s="77"/>
    </row>
    <row r="60" spans="1:18" s="12" customFormat="1" ht="12" hidden="1" customHeight="1" x14ac:dyDescent="0.2">
      <c r="A60" s="15" t="str">
        <f>IF(Allgemein!F47=0,"",Allgemein!F47)</f>
        <v>Ruhr-Universität Bochum</v>
      </c>
      <c r="B60" s="28"/>
      <c r="C60" s="163"/>
      <c r="D60" s="164"/>
      <c r="E60" s="165"/>
      <c r="F60" s="28"/>
      <c r="G60" s="163"/>
      <c r="H60" s="164"/>
      <c r="I60" s="164"/>
      <c r="J60" s="165"/>
      <c r="K60" s="77"/>
      <c r="L60" s="77"/>
      <c r="M60" s="77"/>
      <c r="N60" s="77"/>
      <c r="O60" s="77"/>
      <c r="P60" s="77"/>
      <c r="Q60" s="77"/>
      <c r="R60" s="77"/>
    </row>
    <row r="61" spans="1:18" s="12" customFormat="1" hidden="1" x14ac:dyDescent="0.2">
      <c r="A61" s="15" t="str">
        <f>IF(Allgemein!F48=0,"",Allgemein!F48)</f>
        <v>QuantiCor</v>
      </c>
      <c r="B61" s="28"/>
      <c r="C61" s="163"/>
      <c r="D61" s="164"/>
      <c r="E61" s="165"/>
      <c r="F61" s="28"/>
      <c r="G61" s="163"/>
      <c r="H61" s="164"/>
      <c r="I61" s="164"/>
      <c r="J61" s="165"/>
      <c r="K61" s="77"/>
      <c r="L61" s="77"/>
      <c r="M61" s="77"/>
      <c r="N61" s="77"/>
      <c r="O61" s="77"/>
      <c r="P61" s="77"/>
      <c r="Q61" s="77"/>
      <c r="R61" s="77"/>
    </row>
    <row r="62" spans="1:18" s="12" customFormat="1" hidden="1" x14ac:dyDescent="0.2">
      <c r="A62" s="15" t="str">
        <f>IF(Allgemein!F49=0,"",Allgemein!F49)</f>
        <v>Berlin Nanosatellite Alliance</v>
      </c>
      <c r="B62" s="28"/>
      <c r="C62" s="163"/>
      <c r="D62" s="164"/>
      <c r="E62" s="165"/>
      <c r="F62" s="28"/>
      <c r="G62" s="163"/>
      <c r="H62" s="164"/>
      <c r="I62" s="164"/>
      <c r="J62" s="165"/>
      <c r="K62" s="77"/>
      <c r="L62" s="77"/>
      <c r="M62" s="77"/>
      <c r="N62" s="77"/>
      <c r="O62" s="77"/>
      <c r="P62" s="77"/>
      <c r="Q62" s="77"/>
      <c r="R62" s="77"/>
    </row>
    <row r="63" spans="1:18" s="12" customFormat="1" ht="12" hidden="1" customHeight="1" x14ac:dyDescent="0.2">
      <c r="A63" s="15" t="str">
        <f>IF(Allgemein!F50=0,"",Allgemein!F50)</f>
        <v/>
      </c>
      <c r="B63" s="28"/>
      <c r="C63" s="163"/>
      <c r="D63" s="164"/>
      <c r="E63" s="165"/>
      <c r="F63" s="28"/>
      <c r="G63" s="163"/>
      <c r="H63" s="164"/>
      <c r="I63" s="164"/>
      <c r="J63" s="165"/>
      <c r="K63" s="77"/>
      <c r="L63" s="77"/>
      <c r="M63" s="77"/>
      <c r="N63" s="77"/>
      <c r="O63" s="77"/>
      <c r="P63" s="77"/>
      <c r="Q63" s="77"/>
      <c r="R63" s="77"/>
    </row>
    <row r="64" spans="1:18" s="12" customFormat="1" hidden="1" x14ac:dyDescent="0.2">
      <c r="A64" s="15" t="str">
        <f>IF(Allgemein!F51=0,"",Allgemein!F51)</f>
        <v/>
      </c>
      <c r="B64" s="28"/>
      <c r="C64" s="163"/>
      <c r="D64" s="164"/>
      <c r="E64" s="165"/>
      <c r="F64" s="28"/>
      <c r="G64" s="163"/>
      <c r="H64" s="164"/>
      <c r="I64" s="164"/>
      <c r="J64" s="165"/>
      <c r="K64" s="77"/>
      <c r="L64" s="77"/>
      <c r="M64" s="77"/>
      <c r="N64" s="77"/>
      <c r="O64" s="77"/>
      <c r="P64" s="77"/>
      <c r="Q64" s="77"/>
      <c r="R64" s="77"/>
    </row>
    <row r="65" spans="1:18" s="12" customFormat="1" hidden="1" x14ac:dyDescent="0.2">
      <c r="A65" s="15" t="str">
        <f>IF(Allgemein!F52=0,"",Allgemein!F52)</f>
        <v/>
      </c>
      <c r="B65" s="28"/>
      <c r="C65" s="163"/>
      <c r="D65" s="164"/>
      <c r="E65" s="165"/>
      <c r="F65" s="28"/>
      <c r="G65" s="163"/>
      <c r="H65" s="164"/>
      <c r="I65" s="164"/>
      <c r="J65" s="165"/>
      <c r="K65" s="77"/>
      <c r="L65" s="77"/>
      <c r="M65" s="77"/>
      <c r="N65" s="77"/>
      <c r="O65" s="77"/>
      <c r="P65" s="77"/>
      <c r="Q65" s="77"/>
      <c r="R65" s="77"/>
    </row>
    <row r="66" spans="1:18" s="12" customFormat="1" hidden="1" x14ac:dyDescent="0.2">
      <c r="A66" s="15" t="str">
        <f>IF(Allgemein!F53=0,"",Allgemein!F53)</f>
        <v/>
      </c>
      <c r="B66" s="28"/>
      <c r="C66" s="163"/>
      <c r="D66" s="164"/>
      <c r="E66" s="165"/>
      <c r="F66" s="28"/>
      <c r="G66" s="163"/>
      <c r="H66" s="164"/>
      <c r="I66" s="164"/>
      <c r="J66" s="165"/>
      <c r="K66" s="77"/>
      <c r="L66" s="77"/>
      <c r="M66" s="77"/>
      <c r="N66" s="77"/>
      <c r="O66" s="77"/>
      <c r="P66" s="77"/>
      <c r="Q66" s="77"/>
      <c r="R66" s="77"/>
    </row>
    <row r="67" spans="1:18" s="12" customFormat="1" hidden="1" x14ac:dyDescent="0.2">
      <c r="A67" s="15" t="str">
        <f>IF(Allgemein!F54=0,"",Allgemein!F54)</f>
        <v/>
      </c>
      <c r="B67" s="28"/>
      <c r="C67" s="163"/>
      <c r="D67" s="164"/>
      <c r="E67" s="165"/>
      <c r="F67" s="28"/>
      <c r="G67" s="163"/>
      <c r="H67" s="164"/>
      <c r="I67" s="164"/>
      <c r="J67" s="165"/>
      <c r="K67" s="77"/>
      <c r="L67" s="77"/>
      <c r="M67" s="77"/>
      <c r="N67" s="77"/>
      <c r="O67" s="77"/>
      <c r="P67" s="77"/>
      <c r="Q67" s="77"/>
      <c r="R67" s="77"/>
    </row>
    <row r="68" spans="1:18" s="12" customFormat="1" hidden="1" x14ac:dyDescent="0.2">
      <c r="A68" s="15" t="str">
        <f>IF(Allgemein!F55=0,"",Allgemein!F55)</f>
        <v/>
      </c>
      <c r="B68" s="28"/>
      <c r="C68" s="163"/>
      <c r="D68" s="164"/>
      <c r="E68" s="165"/>
      <c r="F68" s="28"/>
      <c r="G68" s="163"/>
      <c r="H68" s="164"/>
      <c r="I68" s="164"/>
      <c r="J68" s="165"/>
      <c r="K68" s="77"/>
      <c r="L68" s="77"/>
      <c r="M68" s="77"/>
      <c r="N68" s="77"/>
      <c r="O68" s="77"/>
      <c r="P68" s="77"/>
      <c r="Q68" s="77"/>
      <c r="R68" s="77"/>
    </row>
    <row r="69" spans="1:18" s="12" customFormat="1" hidden="1" x14ac:dyDescent="0.2">
      <c r="A69" s="15" t="str">
        <f>IF(Allgemein!F56=0,"",Allgemein!F56)</f>
        <v/>
      </c>
      <c r="B69" s="28"/>
      <c r="C69" s="163"/>
      <c r="D69" s="164"/>
      <c r="E69" s="165"/>
      <c r="F69" s="28"/>
      <c r="G69" s="163"/>
      <c r="H69" s="164"/>
      <c r="I69" s="164"/>
      <c r="J69" s="165"/>
      <c r="K69" s="77"/>
      <c r="L69" s="77"/>
      <c r="M69" s="77"/>
      <c r="N69" s="77"/>
      <c r="O69" s="77"/>
      <c r="P69" s="77"/>
      <c r="Q69" s="77"/>
      <c r="R69" s="77"/>
    </row>
    <row r="70" spans="1:18" s="12" customFormat="1" hidden="1" x14ac:dyDescent="0.2">
      <c r="A70" s="15" t="str">
        <f>IF(Allgemein!F57=0,"",Allgemein!F57)</f>
        <v/>
      </c>
      <c r="B70" s="28"/>
      <c r="C70" s="163"/>
      <c r="D70" s="164"/>
      <c r="E70" s="165"/>
      <c r="F70" s="28"/>
      <c r="G70" s="163"/>
      <c r="H70" s="164"/>
      <c r="I70" s="164"/>
      <c r="J70" s="165"/>
      <c r="K70" s="77"/>
      <c r="L70" s="77"/>
      <c r="M70" s="77"/>
      <c r="N70" s="77"/>
      <c r="O70" s="77"/>
      <c r="P70" s="77"/>
      <c r="Q70" s="77"/>
      <c r="R70" s="77"/>
    </row>
    <row r="71" spans="1:18" s="12" customFormat="1" hidden="1" x14ac:dyDescent="0.2">
      <c r="A71" s="15" t="str">
        <f>IF(Allgemein!F58=0,"",Allgemein!F58)</f>
        <v/>
      </c>
      <c r="B71" s="28"/>
      <c r="C71" s="163"/>
      <c r="D71" s="164"/>
      <c r="E71" s="165"/>
      <c r="F71" s="28"/>
      <c r="G71" s="163"/>
      <c r="H71" s="164"/>
      <c r="I71" s="164"/>
      <c r="J71" s="165"/>
      <c r="K71" s="77"/>
      <c r="L71" s="77"/>
      <c r="M71" s="77"/>
      <c r="N71" s="77"/>
      <c r="O71" s="77"/>
      <c r="P71" s="77"/>
      <c r="Q71" s="77"/>
      <c r="R71" s="77"/>
    </row>
    <row r="72" spans="1:18" s="12" customFormat="1" hidden="1" x14ac:dyDescent="0.2">
      <c r="A72" s="15" t="str">
        <f>IF(Allgemein!F59=0,"",Allgemein!F59)</f>
        <v/>
      </c>
      <c r="B72" s="28"/>
      <c r="C72" s="163"/>
      <c r="D72" s="164"/>
      <c r="E72" s="165"/>
      <c r="F72" s="28"/>
      <c r="G72" s="163"/>
      <c r="H72" s="164"/>
      <c r="I72" s="164"/>
      <c r="J72" s="165"/>
      <c r="K72" s="77"/>
      <c r="L72" s="77"/>
      <c r="M72" s="77"/>
      <c r="N72" s="77"/>
      <c r="O72" s="77"/>
      <c r="P72" s="77"/>
      <c r="Q72" s="77"/>
      <c r="R72" s="77"/>
    </row>
    <row r="73" spans="1:18" s="12" customFormat="1" hidden="1" x14ac:dyDescent="0.2">
      <c r="A73" s="15" t="str">
        <f>IF(Allgemein!F60=0,"",Allgemein!F60)</f>
        <v/>
      </c>
      <c r="B73" s="28"/>
      <c r="C73" s="163"/>
      <c r="D73" s="164"/>
      <c r="E73" s="165"/>
      <c r="F73" s="28"/>
      <c r="G73" s="163"/>
      <c r="H73" s="164"/>
      <c r="I73" s="164"/>
      <c r="J73" s="165"/>
      <c r="K73" s="77"/>
      <c r="L73" s="77"/>
      <c r="M73" s="77"/>
      <c r="N73" s="77"/>
      <c r="O73" s="77"/>
      <c r="P73" s="77"/>
      <c r="Q73" s="77"/>
      <c r="R73" s="77"/>
    </row>
    <row r="74" spans="1:18" s="12" customFormat="1" hidden="1" x14ac:dyDescent="0.2">
      <c r="A74" s="15" t="str">
        <f>IF(Allgemein!F61=0,"",Allgemein!F61)</f>
        <v/>
      </c>
      <c r="B74" s="28"/>
      <c r="C74" s="163"/>
      <c r="D74" s="164"/>
      <c r="E74" s="165"/>
      <c r="F74" s="28"/>
      <c r="G74" s="163"/>
      <c r="H74" s="164"/>
      <c r="I74" s="164"/>
      <c r="J74" s="165"/>
      <c r="K74" s="77"/>
      <c r="L74" s="77"/>
      <c r="M74" s="77"/>
      <c r="N74" s="77"/>
      <c r="O74" s="77"/>
      <c r="P74" s="77"/>
      <c r="Q74" s="77"/>
      <c r="R74" s="77"/>
    </row>
    <row r="75" spans="1:18" s="12" customFormat="1" hidden="1" x14ac:dyDescent="0.2">
      <c r="A75" s="15" t="str">
        <f>IF(Allgemein!F62=0,"",Allgemein!F62)</f>
        <v/>
      </c>
      <c r="B75" s="28"/>
      <c r="C75" s="163"/>
      <c r="D75" s="164"/>
      <c r="E75" s="165"/>
      <c r="F75" s="28"/>
      <c r="G75" s="163"/>
      <c r="H75" s="164"/>
      <c r="I75" s="164"/>
      <c r="J75" s="165"/>
      <c r="K75" s="77"/>
      <c r="L75" s="77"/>
      <c r="M75" s="77"/>
      <c r="N75" s="77"/>
      <c r="O75" s="77"/>
      <c r="P75" s="77"/>
      <c r="Q75" s="77"/>
      <c r="R75" s="77"/>
    </row>
    <row r="76" spans="1:18" s="12" customFormat="1" hidden="1" x14ac:dyDescent="0.2"/>
    <row r="77" spans="1:18" s="12" customFormat="1" ht="24" hidden="1" customHeight="1" x14ac:dyDescent="0.2">
      <c r="A77" s="74" t="s">
        <v>58</v>
      </c>
      <c r="B77" s="82" t="s">
        <v>63</v>
      </c>
      <c r="C77" s="74" t="s">
        <v>69</v>
      </c>
      <c r="E77" s="153" t="s">
        <v>79</v>
      </c>
      <c r="F77" s="155"/>
      <c r="G77" s="74" t="s">
        <v>63</v>
      </c>
      <c r="H77" s="74" t="s">
        <v>69</v>
      </c>
    </row>
    <row r="78" spans="1:18" s="12" customFormat="1" hidden="1" x14ac:dyDescent="0.2">
      <c r="A78" s="22" t="str">
        <f>IF(Allgemein!P43=0,"",Allgemein!P43)</f>
        <v/>
      </c>
      <c r="B78" s="27"/>
      <c r="C78" s="28"/>
      <c r="E78" s="163" t="str">
        <f>IF(Allgemein!N43=0,"",Allgemein!N43)</f>
        <v>Mobiler Arbeitsplatz</v>
      </c>
      <c r="F78" s="165"/>
      <c r="G78" s="28"/>
      <c r="H78" s="28"/>
    </row>
    <row r="79" spans="1:18" s="12" customFormat="1" hidden="1" x14ac:dyDescent="0.2">
      <c r="A79" s="22" t="str">
        <f>IF(Allgemein!P44=0,"",Allgemein!P44)</f>
        <v/>
      </c>
      <c r="B79" s="27"/>
      <c r="C79" s="28"/>
      <c r="E79" s="163" t="str">
        <f>IF(Allgemein!N44=0,"",Allgemein!N44)</f>
        <v>Scanner (Dokument)</v>
      </c>
      <c r="F79" s="165"/>
      <c r="G79" s="28"/>
      <c r="H79" s="28"/>
    </row>
    <row r="80" spans="1:18" s="12" customFormat="1" ht="12" hidden="1" customHeight="1" x14ac:dyDescent="0.2">
      <c r="A80" s="22" t="str">
        <f>IF(Allgemein!P45=0,"",Allgemein!P45)</f>
        <v/>
      </c>
      <c r="B80" s="27"/>
      <c r="C80" s="28"/>
      <c r="E80" s="163" t="str">
        <f>IF(Allgemein!N45=0,"",Allgemein!N45)</f>
        <v>Drucker (normal)</v>
      </c>
      <c r="F80" s="165"/>
      <c r="G80" s="28"/>
      <c r="H80" s="28"/>
    </row>
    <row r="81" spans="1:8" s="12" customFormat="1" ht="12" hidden="1" customHeight="1" x14ac:dyDescent="0.2">
      <c r="A81" s="22" t="str">
        <f>IF(Allgemein!P46=0,"",Allgemein!P46)</f>
        <v/>
      </c>
      <c r="B81" s="27"/>
      <c r="C81" s="28"/>
      <c r="E81" s="163" t="str">
        <f>IF(Allgemein!N46=0,"",Allgemein!N46)</f>
        <v>Laptop</v>
      </c>
      <c r="F81" s="165"/>
      <c r="G81" s="28"/>
      <c r="H81" s="28"/>
    </row>
    <row r="82" spans="1:8" s="12" customFormat="1" ht="12" hidden="1" customHeight="1" x14ac:dyDescent="0.2">
      <c r="A82" s="22" t="str">
        <f>IF(Allgemein!P47=0,"",Allgemein!P47)</f>
        <v/>
      </c>
      <c r="B82" s="27"/>
      <c r="C82" s="28"/>
      <c r="E82" s="163" t="str">
        <f>IF(Allgemein!N47=0,"",Allgemein!N47)</f>
        <v>Router/Switch</v>
      </c>
      <c r="F82" s="165"/>
      <c r="G82" s="28"/>
      <c r="H82" s="28"/>
    </row>
    <row r="83" spans="1:8" s="12" customFormat="1" ht="12" hidden="1" customHeight="1" x14ac:dyDescent="0.2">
      <c r="A83" s="22" t="str">
        <f>IF(Allgemein!P48=0,"",Allgemein!P48)</f>
        <v/>
      </c>
      <c r="B83" s="27"/>
      <c r="C83" s="28"/>
      <c r="E83" s="163" t="str">
        <f>IF(Allgemein!N48=0,"",Allgemein!N48)</f>
        <v/>
      </c>
      <c r="F83" s="165"/>
      <c r="G83" s="28"/>
      <c r="H83" s="28"/>
    </row>
    <row r="84" spans="1:8" s="12" customFormat="1" hidden="1" x14ac:dyDescent="0.2">
      <c r="A84" s="22" t="str">
        <f>IF(Allgemein!P49=0,"",Allgemein!P49)</f>
        <v/>
      </c>
      <c r="B84" s="27"/>
      <c r="C84" s="28"/>
      <c r="E84" s="163" t="str">
        <f>IF(Allgemein!N49=0,"",Allgemein!N49)</f>
        <v/>
      </c>
      <c r="F84" s="165"/>
      <c r="G84" s="28"/>
      <c r="H84" s="28"/>
    </row>
    <row r="85" spans="1:8" s="12" customFormat="1" hidden="1" x14ac:dyDescent="0.2">
      <c r="A85" s="22" t="str">
        <f>IF(Allgemein!P50=0,"",Allgemein!P50)</f>
        <v/>
      </c>
      <c r="B85" s="27"/>
      <c r="C85" s="28"/>
      <c r="E85" s="163" t="str">
        <f>IF(Allgemein!N50=0,"",Allgemein!N50)</f>
        <v/>
      </c>
      <c r="F85" s="165"/>
      <c r="G85" s="28"/>
      <c r="H85" s="28"/>
    </row>
    <row r="86" spans="1:8" s="12" customFormat="1" hidden="1" x14ac:dyDescent="0.2">
      <c r="A86" s="22" t="str">
        <f>IF(Allgemein!P51=0,"",Allgemein!P51)</f>
        <v/>
      </c>
      <c r="B86" s="27"/>
      <c r="C86" s="28"/>
      <c r="E86" s="163" t="str">
        <f>IF(Allgemein!N51=0,"",Allgemein!N51)</f>
        <v/>
      </c>
      <c r="F86" s="165"/>
      <c r="G86" s="28"/>
      <c r="H86" s="28"/>
    </row>
    <row r="87" spans="1:8" s="12" customFormat="1" hidden="1" x14ac:dyDescent="0.2">
      <c r="A87" s="22" t="str">
        <f>IF(Allgemein!P52=0,"",Allgemein!P52)</f>
        <v/>
      </c>
      <c r="B87" s="27"/>
      <c r="C87" s="28"/>
      <c r="E87" s="163" t="str">
        <f>IF(Allgemein!N52=0,"",Allgemein!N52)</f>
        <v/>
      </c>
      <c r="F87" s="165"/>
      <c r="G87" s="28"/>
      <c r="H87" s="28"/>
    </row>
    <row r="88" spans="1:8" s="12" customFormat="1" hidden="1" x14ac:dyDescent="0.2">
      <c r="A88" s="22" t="str">
        <f>IF(Allgemein!P53=0,"",Allgemein!P53)</f>
        <v/>
      </c>
      <c r="B88" s="27"/>
      <c r="C88" s="28"/>
      <c r="E88" s="163" t="str">
        <f>IF(Allgemein!N53=0,"",Allgemein!N53)</f>
        <v/>
      </c>
      <c r="F88" s="165"/>
      <c r="G88" s="28"/>
      <c r="H88" s="28"/>
    </row>
    <row r="89" spans="1:8" s="12" customFormat="1" hidden="1" x14ac:dyDescent="0.2">
      <c r="A89" s="22" t="str">
        <f>IF(Allgemein!P54=0,"",Allgemein!P54)</f>
        <v/>
      </c>
      <c r="B89" s="27"/>
      <c r="C89" s="28"/>
      <c r="E89" s="163" t="str">
        <f>IF(Allgemein!N54=0,"",Allgemein!N54)</f>
        <v/>
      </c>
      <c r="F89" s="165"/>
      <c r="G89" s="28"/>
      <c r="H89" s="28"/>
    </row>
    <row r="90" spans="1:8" s="12" customFormat="1" hidden="1" x14ac:dyDescent="0.2">
      <c r="A90" s="22" t="str">
        <f>IF(Allgemein!P55=0,"",Allgemein!P55)</f>
        <v/>
      </c>
      <c r="B90" s="27"/>
      <c r="C90" s="28"/>
      <c r="E90" s="163" t="str">
        <f>IF(Allgemein!N55=0,"",Allgemein!N55)</f>
        <v/>
      </c>
      <c r="F90" s="165"/>
      <c r="G90" s="28"/>
      <c r="H90" s="28"/>
    </row>
    <row r="91" spans="1:8" s="12" customFormat="1" hidden="1" x14ac:dyDescent="0.2">
      <c r="A91" s="22" t="str">
        <f>IF(Allgemein!P56=0,"",Allgemein!P56)</f>
        <v/>
      </c>
      <c r="B91" s="27"/>
      <c r="C91" s="28"/>
      <c r="E91" s="163" t="str">
        <f>IF(Allgemein!N56=0,"",Allgemein!N56)</f>
        <v/>
      </c>
      <c r="F91" s="165"/>
      <c r="G91" s="28"/>
      <c r="H91" s="28"/>
    </row>
    <row r="92" spans="1:8" s="12" customFormat="1" hidden="1" x14ac:dyDescent="0.2">
      <c r="A92" s="22" t="str">
        <f>IF(Allgemein!P57=0,"",Allgemein!P57)</f>
        <v/>
      </c>
      <c r="B92" s="27"/>
      <c r="C92" s="28"/>
      <c r="E92" s="163" t="str">
        <f>IF(Allgemein!N57=0,"",Allgemein!N57)</f>
        <v/>
      </c>
      <c r="F92" s="165"/>
      <c r="G92" s="28"/>
      <c r="H92" s="28"/>
    </row>
    <row r="93" spans="1:8" s="12" customFormat="1" hidden="1" x14ac:dyDescent="0.2">
      <c r="A93" s="22" t="str">
        <f>IF(Allgemein!P58=0,"",Allgemein!P58)</f>
        <v/>
      </c>
      <c r="B93" s="27"/>
      <c r="C93" s="28"/>
      <c r="E93" s="163" t="str">
        <f>IF(Allgemein!N58=0,"",Allgemein!N58)</f>
        <v/>
      </c>
      <c r="F93" s="165"/>
      <c r="G93" s="28"/>
      <c r="H93" s="28"/>
    </row>
    <row r="94" spans="1:8" s="12" customFormat="1" hidden="1" x14ac:dyDescent="0.2">
      <c r="A94" s="22" t="str">
        <f>IF(Allgemein!P59=0,"",Allgemein!P59)</f>
        <v/>
      </c>
      <c r="B94" s="27"/>
      <c r="C94" s="28"/>
      <c r="E94" s="163" t="str">
        <f>IF(Allgemein!N59=0,"",Allgemein!N59)</f>
        <v/>
      </c>
      <c r="F94" s="165"/>
      <c r="G94" s="28"/>
      <c r="H94" s="28"/>
    </row>
    <row r="95" spans="1:8" s="12" customFormat="1" hidden="1" x14ac:dyDescent="0.2">
      <c r="A95" s="22" t="str">
        <f>IF(Allgemein!P60=0,"",Allgemein!P60)</f>
        <v/>
      </c>
      <c r="B95" s="27"/>
      <c r="C95" s="28"/>
      <c r="E95" s="163" t="str">
        <f>IF(Allgemein!N60=0,"",Allgemein!N60)</f>
        <v/>
      </c>
      <c r="F95" s="165"/>
      <c r="G95" s="28"/>
      <c r="H95" s="28"/>
    </row>
    <row r="96" spans="1:8" s="12" customFormat="1" hidden="1" x14ac:dyDescent="0.2">
      <c r="A96" s="22" t="str">
        <f>IF(Allgemein!P61=0,"",Allgemein!P61)</f>
        <v/>
      </c>
      <c r="B96" s="27"/>
      <c r="C96" s="28"/>
      <c r="E96" s="163" t="str">
        <f>IF(Allgemein!N61=0,"",Allgemein!N61)</f>
        <v/>
      </c>
      <c r="F96" s="165"/>
      <c r="G96" s="28"/>
      <c r="H96" s="28"/>
    </row>
    <row r="97" spans="1:43" s="12" customFormat="1" hidden="1" x14ac:dyDescent="0.2">
      <c r="A97" s="22" t="str">
        <f>IF(Allgemein!P62=0,"",Allgemein!P62)</f>
        <v/>
      </c>
      <c r="B97" s="27"/>
      <c r="C97" s="28"/>
      <c r="E97" s="163" t="str">
        <f>IF(Allgemein!N62=0,"",Allgemein!N62)</f>
        <v/>
      </c>
      <c r="F97" s="165"/>
      <c r="G97" s="28"/>
      <c r="H97" s="28"/>
    </row>
    <row r="98" spans="1:43" s="12" customFormat="1" hidden="1" x14ac:dyDescent="0.2">
      <c r="A98" s="22" t="str">
        <f>IF(Allgemein!P63=0,"",Allgemein!P63)</f>
        <v/>
      </c>
      <c r="B98" s="27"/>
      <c r="C98" s="28"/>
      <c r="E98" s="163" t="str">
        <f>IF(Allgemein!N63=0,"",Allgemein!N63)</f>
        <v/>
      </c>
      <c r="F98" s="165"/>
      <c r="G98" s="28"/>
      <c r="H98" s="28"/>
    </row>
    <row r="99" spans="1:43" s="12" customFormat="1" hidden="1" x14ac:dyDescent="0.2">
      <c r="A99" s="22" t="str">
        <f>IF(Allgemein!P64=0,"",Allgemein!P64)</f>
        <v/>
      </c>
      <c r="B99" s="27"/>
      <c r="C99" s="28"/>
      <c r="E99" s="163" t="str">
        <f>IF(Allgemein!N64=0,"",Allgemein!N64)</f>
        <v/>
      </c>
      <c r="F99" s="165"/>
      <c r="G99" s="28"/>
      <c r="H99" s="28"/>
    </row>
    <row r="100" spans="1:43" s="12" customFormat="1" hidden="1" x14ac:dyDescent="0.2">
      <c r="A100" s="22" t="str">
        <f>IF(Allgemein!P65=0,"",Allgemein!P65)</f>
        <v/>
      </c>
      <c r="B100" s="27"/>
      <c r="C100" s="28"/>
      <c r="E100" s="163" t="str">
        <f>IF(Allgemein!N65=0,"",Allgemein!N65)</f>
        <v/>
      </c>
      <c r="F100" s="165"/>
      <c r="G100" s="28"/>
      <c r="H100" s="28"/>
    </row>
    <row r="101" spans="1:43" s="12" customFormat="1" hidden="1" x14ac:dyDescent="0.2">
      <c r="A101" s="22" t="str">
        <f>IF(Allgemein!P66=0,"",Allgemein!P66)</f>
        <v/>
      </c>
      <c r="B101" s="27"/>
      <c r="C101" s="28"/>
      <c r="E101" s="163" t="str">
        <f>IF(Allgemein!N66=0,"",Allgemein!N66)</f>
        <v/>
      </c>
      <c r="F101" s="165"/>
      <c r="G101" s="28"/>
      <c r="H101" s="28"/>
    </row>
    <row r="102" spans="1:43" s="12" customFormat="1" hidden="1" x14ac:dyDescent="0.2">
      <c r="A102" s="22" t="str">
        <f>IF(Allgemein!P67=0,"",Allgemein!P67)</f>
        <v/>
      </c>
      <c r="B102" s="27"/>
      <c r="C102" s="28"/>
      <c r="E102" s="163" t="str">
        <f>IF(Allgemein!N67=0,"",Allgemein!N67)</f>
        <v/>
      </c>
      <c r="F102" s="165"/>
      <c r="G102" s="28"/>
      <c r="H102" s="28"/>
    </row>
    <row r="103" spans="1:43" s="12" customFormat="1" hidden="1" x14ac:dyDescent="0.2">
      <c r="A103" s="22" t="str">
        <f>IF(Allgemein!P68=0,"",Allgemein!P68)</f>
        <v/>
      </c>
      <c r="B103" s="27"/>
      <c r="C103" s="28"/>
      <c r="E103" s="163" t="str">
        <f>IF(Allgemein!N68=0,"",Allgemein!N68)</f>
        <v/>
      </c>
      <c r="F103" s="165"/>
      <c r="G103" s="28"/>
      <c r="H103" s="28"/>
    </row>
    <row r="104" spans="1:43" s="12" customFormat="1" hidden="1" x14ac:dyDescent="0.2">
      <c r="A104" s="13"/>
      <c r="B104" s="13"/>
      <c r="C104" s="13"/>
    </row>
    <row r="105" spans="1:43" s="12" customFormat="1" ht="107.1" customHeight="1" x14ac:dyDescent="0.2">
      <c r="A105" s="153" t="s">
        <v>80</v>
      </c>
      <c r="B105" s="155"/>
      <c r="C105" s="74"/>
      <c r="D105" s="34" t="str">
        <f>Allgemein!C43</f>
        <v>Arbeitsergebnisse</v>
      </c>
      <c r="E105" s="34" t="s">
        <v>363</v>
      </c>
      <c r="F105" s="34" t="str">
        <f>Allgemein!C44</f>
        <v>Projektdokumentation</v>
      </c>
      <c r="G105" s="34" t="str">
        <f>Allgemein!C45</f>
        <v>IT-System- und Dokumentenmanagement</v>
      </c>
      <c r="H105" s="34" t="str">
        <f>Allgemein!C46</f>
        <v>Altprojektdatenbank</v>
      </c>
      <c r="I105" s="34" t="str">
        <f>Allgemein!C47</f>
        <v>Projektfeinplanung (Arbeitspakete - Git Tickets)</v>
      </c>
      <c r="J105" s="34" t="str">
        <f>Allgemein!C48</f>
        <v>Projektgrobplanung</v>
      </c>
      <c r="K105" s="34" t="str">
        <f>Allgemein!C49</f>
        <v>Rechnungsmanagement</v>
      </c>
      <c r="L105" s="34" t="str">
        <f>Allgemein!C50</f>
        <v>Projektbasierte Risikoanalyse</v>
      </c>
      <c r="M105" s="34" t="str">
        <f>Allgemein!C51</f>
        <v>Wiki Wissensdatenbank</v>
      </c>
      <c r="N105" s="34" t="str">
        <f>Allgemein!C52</f>
        <v>Source Code</v>
      </c>
      <c r="O105" s="34" t="str">
        <f>Allgemein!C53</f>
        <v>Missionsdaten</v>
      </c>
      <c r="P105" s="34" t="str">
        <f>Allgemein!C54</f>
        <v>Schlüsselmaterial Mission</v>
      </c>
      <c r="Q105" s="34">
        <f>Allgemein!C56</f>
        <v>0</v>
      </c>
      <c r="R105" s="34">
        <f>Allgemein!C57</f>
        <v>0</v>
      </c>
      <c r="S105" s="34">
        <f>Allgemein!C58</f>
        <v>0</v>
      </c>
      <c r="T105" s="34">
        <f>Allgemein!C59</f>
        <v>0</v>
      </c>
      <c r="U105" s="34">
        <f>Allgemein!C60</f>
        <v>0</v>
      </c>
      <c r="V105" s="34">
        <f>Allgemein!C61</f>
        <v>0</v>
      </c>
      <c r="W105" s="34">
        <f>Allgemein!C62</f>
        <v>0</v>
      </c>
      <c r="X105" s="34">
        <f>Allgemein!C63</f>
        <v>0</v>
      </c>
      <c r="Y105" s="34">
        <f>Allgemein!C64</f>
        <v>0</v>
      </c>
      <c r="Z105" s="34">
        <f>Allgemein!C65</f>
        <v>0</v>
      </c>
      <c r="AA105" s="34">
        <f>Allgemein!C66</f>
        <v>0</v>
      </c>
      <c r="AB105" s="34">
        <f>Allgemein!C67</f>
        <v>0</v>
      </c>
      <c r="AC105" s="34">
        <f>Allgemein!C68</f>
        <v>0</v>
      </c>
      <c r="AD105" s="34">
        <f>Allgemein!C69</f>
        <v>0</v>
      </c>
      <c r="AE105" s="34">
        <f>Allgemein!C70</f>
        <v>0</v>
      </c>
      <c r="AF105" s="34">
        <f>Allgemein!C71</f>
        <v>0</v>
      </c>
      <c r="AG105" s="34">
        <f>Allgemein!C72</f>
        <v>0</v>
      </c>
      <c r="AH105" s="34">
        <f>Allgemein!C73</f>
        <v>0</v>
      </c>
      <c r="AI105" s="34">
        <f>Allgemein!C74</f>
        <v>0</v>
      </c>
      <c r="AJ105" s="34">
        <f>Allgemein!C75</f>
        <v>0</v>
      </c>
      <c r="AK105" s="34">
        <f>Allgemein!C76</f>
        <v>0</v>
      </c>
      <c r="AL105" s="34">
        <f>Allgemein!C77</f>
        <v>0</v>
      </c>
      <c r="AM105" s="34">
        <f>Allgemein!C78</f>
        <v>0</v>
      </c>
      <c r="AN105" s="34">
        <f>Allgemein!C79</f>
        <v>0</v>
      </c>
      <c r="AO105" s="34">
        <f>Allgemein!C80</f>
        <v>0</v>
      </c>
      <c r="AP105" s="34">
        <f>Allgemein!C81</f>
        <v>0</v>
      </c>
      <c r="AQ105" s="34">
        <f>Allgemein!C82</f>
        <v>0</v>
      </c>
    </row>
    <row r="106" spans="1:43" s="12" customFormat="1" x14ac:dyDescent="0.2">
      <c r="A106" s="173" t="s">
        <v>278</v>
      </c>
      <c r="B106" s="173"/>
      <c r="C106" s="84"/>
      <c r="D106" s="104"/>
      <c r="E106" s="35"/>
      <c r="F106" s="35"/>
      <c r="G106" s="35"/>
      <c r="H106" s="35"/>
      <c r="I106" s="115" t="s">
        <v>357</v>
      </c>
      <c r="J106" s="104"/>
      <c r="K106" s="104"/>
      <c r="L106" s="104"/>
      <c r="M106" s="35"/>
      <c r="N106" s="104"/>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row>
    <row r="107" spans="1:43" s="12" customFormat="1" x14ac:dyDescent="0.2">
      <c r="A107" s="12" t="s">
        <v>279</v>
      </c>
      <c r="C107" s="84"/>
      <c r="D107" s="104"/>
      <c r="E107" s="35"/>
      <c r="F107" s="35"/>
      <c r="G107" s="35"/>
      <c r="H107" s="35"/>
      <c r="I107" s="115" t="s">
        <v>357</v>
      </c>
      <c r="J107" s="104"/>
      <c r="K107" s="104"/>
      <c r="L107" s="104"/>
      <c r="M107" s="35"/>
      <c r="N107" s="104"/>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row>
    <row r="108" spans="1:43" s="12" customFormat="1" x14ac:dyDescent="0.2">
      <c r="A108" s="173" t="s">
        <v>282</v>
      </c>
      <c r="B108" s="173"/>
      <c r="C108" s="85"/>
      <c r="D108" s="104"/>
      <c r="E108" s="35"/>
      <c r="F108" s="116"/>
      <c r="G108" s="35"/>
      <c r="H108" s="116"/>
      <c r="I108" s="35"/>
      <c r="J108" s="104"/>
      <c r="K108" s="104"/>
      <c r="L108" s="104"/>
      <c r="M108" s="116"/>
      <c r="N108" s="104"/>
      <c r="O108" s="115" t="s">
        <v>357</v>
      </c>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row>
    <row r="109" spans="1:43" s="12" customFormat="1" x14ac:dyDescent="0.2">
      <c r="A109" s="84" t="s">
        <v>290</v>
      </c>
      <c r="B109" s="84"/>
      <c r="C109" s="84"/>
      <c r="D109" s="104"/>
      <c r="E109" s="35"/>
      <c r="F109" s="116"/>
      <c r="G109" s="116"/>
      <c r="H109" s="35"/>
      <c r="I109" s="35"/>
      <c r="J109" s="104"/>
      <c r="K109" s="104"/>
      <c r="L109" s="104"/>
      <c r="M109" s="35"/>
      <c r="N109" s="104"/>
      <c r="O109" s="115" t="s">
        <v>357</v>
      </c>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row>
    <row r="110" spans="1:43" s="12" customFormat="1" ht="12" customHeight="1" x14ac:dyDescent="0.2">
      <c r="A110" s="173" t="s">
        <v>291</v>
      </c>
      <c r="B110" s="173"/>
      <c r="C110" s="84"/>
      <c r="D110" s="104"/>
      <c r="E110" s="35"/>
      <c r="F110" s="116"/>
      <c r="G110" s="116"/>
      <c r="H110" s="35"/>
      <c r="I110" s="35"/>
      <c r="J110" s="104"/>
      <c r="K110" s="104"/>
      <c r="L110" s="104"/>
      <c r="M110" s="35"/>
      <c r="N110" s="104"/>
      <c r="O110" s="115" t="s">
        <v>357</v>
      </c>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row>
    <row r="111" spans="1:43" s="12" customFormat="1" x14ac:dyDescent="0.2">
      <c r="A111" s="173" t="s">
        <v>292</v>
      </c>
      <c r="B111" s="173"/>
      <c r="C111" s="84"/>
      <c r="D111" s="104"/>
      <c r="E111" s="35"/>
      <c r="F111" s="116"/>
      <c r="G111" s="116"/>
      <c r="H111" s="35"/>
      <c r="I111" s="35"/>
      <c r="J111" s="104"/>
      <c r="K111" s="104"/>
      <c r="L111" s="104"/>
      <c r="M111" s="35"/>
      <c r="N111" s="104"/>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row>
    <row r="112" spans="1:43" s="12" customFormat="1" x14ac:dyDescent="0.2">
      <c r="A112" s="84" t="s">
        <v>293</v>
      </c>
      <c r="B112" s="84"/>
      <c r="C112" s="84"/>
      <c r="D112" s="104"/>
      <c r="E112" s="35"/>
      <c r="F112" s="116"/>
      <c r="G112" s="116"/>
      <c r="H112" s="35"/>
      <c r="I112" s="35"/>
      <c r="J112" s="104"/>
      <c r="K112" s="104"/>
      <c r="L112" s="104"/>
      <c r="M112" s="35"/>
      <c r="N112" s="104"/>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row>
    <row r="113" spans="1:43" s="12" customFormat="1" x14ac:dyDescent="0.2">
      <c r="A113" s="84" t="s">
        <v>294</v>
      </c>
      <c r="B113" s="84"/>
      <c r="C113" s="84"/>
      <c r="D113" s="104"/>
      <c r="E113" s="35"/>
      <c r="F113" s="116"/>
      <c r="G113" s="116"/>
      <c r="H113" s="35"/>
      <c r="I113" s="35"/>
      <c r="J113" s="104"/>
      <c r="K113" s="104"/>
      <c r="L113" s="104"/>
      <c r="M113" s="35"/>
      <c r="N113" s="104"/>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row>
    <row r="114" spans="1:43" s="12" customFormat="1" x14ac:dyDescent="0.2">
      <c r="A114" s="84" t="s">
        <v>295</v>
      </c>
      <c r="B114" s="84"/>
      <c r="C114" s="84"/>
      <c r="D114" s="104"/>
      <c r="E114" s="35"/>
      <c r="F114" s="116"/>
      <c r="G114" s="116"/>
      <c r="H114" s="35"/>
      <c r="I114" s="35"/>
      <c r="J114" s="104"/>
      <c r="K114" s="104"/>
      <c r="L114" s="104"/>
      <c r="M114" s="35"/>
      <c r="N114" s="104"/>
      <c r="O114" s="35"/>
      <c r="P114" s="115" t="s">
        <v>357</v>
      </c>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row>
    <row r="115" spans="1:43" s="12" customFormat="1" x14ac:dyDescent="0.2">
      <c r="A115" s="84" t="s">
        <v>296</v>
      </c>
      <c r="B115" s="84"/>
      <c r="C115" s="84"/>
      <c r="D115" s="104"/>
      <c r="E115" s="35"/>
      <c r="F115" s="116"/>
      <c r="G115" s="116"/>
      <c r="H115" s="35"/>
      <c r="I115" s="35"/>
      <c r="J115" s="104"/>
      <c r="K115" s="104"/>
      <c r="L115" s="104"/>
      <c r="M115" s="35"/>
      <c r="N115" s="104"/>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row>
    <row r="116" spans="1:43" s="12" customFormat="1" x14ac:dyDescent="0.2">
      <c r="A116" s="84" t="s">
        <v>297</v>
      </c>
      <c r="B116" s="84"/>
      <c r="C116" s="84"/>
      <c r="D116" s="104"/>
      <c r="E116" s="35"/>
      <c r="F116" s="116"/>
      <c r="G116" s="116"/>
      <c r="H116" s="35"/>
      <c r="I116" s="35"/>
      <c r="J116" s="104"/>
      <c r="K116" s="104"/>
      <c r="L116" s="104"/>
      <c r="M116" s="35"/>
      <c r="N116" s="104"/>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row>
    <row r="117" spans="1:43" s="12" customFormat="1" x14ac:dyDescent="0.2">
      <c r="A117" s="84" t="s">
        <v>298</v>
      </c>
      <c r="B117" s="84"/>
      <c r="C117" s="84"/>
      <c r="D117" s="104"/>
      <c r="E117" s="35"/>
      <c r="F117" s="116"/>
      <c r="G117" s="116"/>
      <c r="H117" s="35"/>
      <c r="I117" s="35"/>
      <c r="J117" s="104"/>
      <c r="K117" s="104"/>
      <c r="L117" s="104"/>
      <c r="M117" s="35"/>
      <c r="N117" s="104"/>
      <c r="O117" s="35"/>
      <c r="P117" s="115" t="s">
        <v>357</v>
      </c>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row>
    <row r="118" spans="1:43" s="12" customFormat="1" x14ac:dyDescent="0.2">
      <c r="A118" s="84" t="s">
        <v>299</v>
      </c>
      <c r="B118" s="84"/>
      <c r="C118" s="84"/>
      <c r="D118" s="104"/>
      <c r="E118" s="35"/>
      <c r="F118" s="116"/>
      <c r="G118" s="116"/>
      <c r="H118" s="35"/>
      <c r="I118" s="35"/>
      <c r="J118" s="104"/>
      <c r="K118" s="104"/>
      <c r="L118" s="104"/>
      <c r="M118" s="35"/>
      <c r="N118" s="104"/>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row>
    <row r="119" spans="1:43" s="12" customFormat="1" x14ac:dyDescent="0.2">
      <c r="A119" s="84" t="s">
        <v>273</v>
      </c>
      <c r="B119" s="84"/>
      <c r="C119" s="84"/>
      <c r="D119" s="104"/>
      <c r="E119" s="35"/>
      <c r="F119" s="115" t="s">
        <v>357</v>
      </c>
      <c r="G119" s="115" t="s">
        <v>357</v>
      </c>
      <c r="H119" s="115" t="s">
        <v>357</v>
      </c>
      <c r="I119" s="35"/>
      <c r="J119" s="104"/>
      <c r="K119" s="104"/>
      <c r="L119" s="104"/>
      <c r="M119" s="115" t="s">
        <v>357</v>
      </c>
      <c r="N119" s="104"/>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row>
    <row r="120" spans="1:43" s="12" customFormat="1" x14ac:dyDescent="0.2">
      <c r="A120" s="84" t="s">
        <v>274</v>
      </c>
      <c r="B120" s="84"/>
      <c r="C120" s="84"/>
      <c r="D120" s="104"/>
      <c r="E120" s="35"/>
      <c r="F120" s="115" t="s">
        <v>357</v>
      </c>
      <c r="G120" s="115" t="s">
        <v>357</v>
      </c>
      <c r="H120" s="115" t="s">
        <v>357</v>
      </c>
      <c r="I120" s="35"/>
      <c r="J120" s="104"/>
      <c r="K120" s="104"/>
      <c r="L120" s="104"/>
      <c r="M120" s="115" t="s">
        <v>357</v>
      </c>
      <c r="N120" s="104"/>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row>
    <row r="121" spans="1:43" s="12" customFormat="1" x14ac:dyDescent="0.2">
      <c r="A121" s="84"/>
      <c r="B121" s="84"/>
      <c r="C121" s="84"/>
      <c r="D121" s="104"/>
      <c r="E121" s="35"/>
      <c r="F121" s="35"/>
      <c r="G121" s="35"/>
      <c r="H121" s="35"/>
      <c r="I121" s="35"/>
      <c r="J121" s="104"/>
      <c r="K121" s="104"/>
      <c r="L121" s="104"/>
      <c r="M121" s="35"/>
      <c r="N121" s="104"/>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row>
    <row r="122" spans="1:43" s="12" customFormat="1" x14ac:dyDescent="0.2">
      <c r="A122" s="84"/>
      <c r="B122" s="84"/>
      <c r="C122" s="84"/>
      <c r="D122" s="104"/>
      <c r="E122" s="35"/>
      <c r="F122" s="35"/>
      <c r="G122" s="35"/>
      <c r="H122" s="35"/>
      <c r="I122" s="35"/>
      <c r="J122" s="104"/>
      <c r="K122" s="104"/>
      <c r="L122" s="104"/>
      <c r="M122" s="35"/>
      <c r="N122" s="104"/>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row>
    <row r="123" spans="1:43" s="12" customFormat="1" x14ac:dyDescent="0.2">
      <c r="A123" s="84"/>
      <c r="B123" s="84"/>
      <c r="C123" s="84"/>
      <c r="D123" s="104"/>
      <c r="E123" s="35"/>
      <c r="F123" s="35"/>
      <c r="G123" s="35"/>
      <c r="H123" s="35"/>
      <c r="I123" s="35"/>
      <c r="J123" s="104"/>
      <c r="K123" s="104"/>
      <c r="L123" s="104"/>
      <c r="M123" s="35"/>
      <c r="N123" s="104"/>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row>
    <row r="124" spans="1:43" s="12" customFormat="1" x14ac:dyDescent="0.2">
      <c r="A124" s="84"/>
      <c r="B124" s="84"/>
      <c r="C124" s="85"/>
      <c r="D124" s="104"/>
      <c r="E124" s="35"/>
      <c r="F124" s="35"/>
      <c r="G124" s="35"/>
      <c r="H124" s="35"/>
      <c r="I124" s="35"/>
      <c r="J124" s="104"/>
      <c r="K124" s="104"/>
      <c r="L124" s="104"/>
      <c r="M124" s="35"/>
      <c r="N124" s="104"/>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row>
    <row r="125" spans="1:43" s="12" customFormat="1" x14ac:dyDescent="0.2">
      <c r="A125" s="84"/>
      <c r="B125" s="84"/>
      <c r="C125" s="84"/>
      <c r="D125" s="104"/>
      <c r="E125" s="35"/>
      <c r="F125" s="35"/>
      <c r="G125" s="35"/>
      <c r="H125" s="35"/>
      <c r="I125" s="35"/>
      <c r="J125" s="104"/>
      <c r="K125" s="104"/>
      <c r="L125" s="104"/>
      <c r="M125" s="35"/>
      <c r="N125" s="104"/>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row>
    <row r="126" spans="1:43" s="12" customFormat="1" x14ac:dyDescent="0.2">
      <c r="A126" s="84"/>
      <c r="B126" s="84"/>
      <c r="C126" s="84"/>
      <c r="D126" s="104"/>
      <c r="E126" s="35"/>
      <c r="F126" s="35"/>
      <c r="G126" s="35"/>
      <c r="H126" s="35"/>
      <c r="I126" s="35"/>
      <c r="J126" s="104"/>
      <c r="K126" s="104"/>
      <c r="L126" s="104"/>
      <c r="M126" s="35"/>
      <c r="N126" s="104"/>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row>
    <row r="127" spans="1:43" s="12" customFormat="1" x14ac:dyDescent="0.2">
      <c r="A127" s="84"/>
      <c r="B127" s="84"/>
      <c r="C127" s="84"/>
      <c r="D127" s="104"/>
      <c r="E127" s="35"/>
      <c r="F127" s="35"/>
      <c r="G127" s="35"/>
      <c r="H127" s="35"/>
      <c r="I127" s="35"/>
      <c r="J127" s="104"/>
      <c r="K127" s="104"/>
      <c r="L127" s="104"/>
      <c r="M127" s="35"/>
      <c r="N127" s="104"/>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row>
    <row r="128" spans="1:43" s="12" customFormat="1" x14ac:dyDescent="0.2">
      <c r="A128" s="84"/>
      <c r="B128" s="84"/>
      <c r="C128" s="84"/>
      <c r="D128" s="104"/>
      <c r="E128" s="35"/>
      <c r="F128" s="35"/>
      <c r="G128" s="35"/>
      <c r="H128" s="35"/>
      <c r="I128" s="35"/>
      <c r="J128" s="104"/>
      <c r="K128" s="104"/>
      <c r="L128" s="104"/>
      <c r="M128" s="35"/>
      <c r="N128" s="104"/>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row>
    <row r="129" spans="1:43" s="12" customFormat="1" x14ac:dyDescent="0.2">
      <c r="A129" s="84"/>
      <c r="B129" s="84"/>
      <c r="C129" s="84"/>
      <c r="D129" s="104"/>
      <c r="E129" s="35"/>
      <c r="F129" s="35"/>
      <c r="G129" s="35"/>
      <c r="H129" s="35"/>
      <c r="I129" s="35"/>
      <c r="J129" s="104"/>
      <c r="K129" s="104"/>
      <c r="L129" s="104"/>
      <c r="M129" s="35"/>
      <c r="N129" s="104"/>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row>
    <row r="130" spans="1:43" s="12" customFormat="1" x14ac:dyDescent="0.2">
      <c r="A130" s="84"/>
      <c r="B130" s="84"/>
      <c r="C130" s="84"/>
      <c r="D130" s="104"/>
      <c r="E130" s="35"/>
      <c r="F130" s="35"/>
      <c r="G130" s="35"/>
      <c r="H130" s="35"/>
      <c r="I130" s="35"/>
      <c r="J130" s="104"/>
      <c r="K130" s="104"/>
      <c r="L130" s="104"/>
      <c r="M130" s="35"/>
      <c r="N130" s="104"/>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row>
    <row r="131" spans="1:43" s="12" customFormat="1" x14ac:dyDescent="0.2">
      <c r="A131" s="84"/>
      <c r="B131" s="84"/>
      <c r="C131" s="84"/>
      <c r="D131" s="104"/>
      <c r="E131" s="35"/>
      <c r="F131" s="35"/>
      <c r="G131" s="35"/>
      <c r="H131" s="35"/>
      <c r="I131" s="35"/>
      <c r="J131" s="104"/>
      <c r="K131" s="104"/>
      <c r="L131" s="104"/>
      <c r="M131" s="35"/>
      <c r="N131" s="104"/>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row>
    <row r="132" spans="1:43" s="12" customFormat="1" x14ac:dyDescent="0.2">
      <c r="A132" s="84"/>
      <c r="B132" s="84"/>
      <c r="C132" s="84"/>
      <c r="D132" s="104"/>
      <c r="E132" s="35"/>
      <c r="F132" s="35"/>
      <c r="G132" s="35"/>
      <c r="H132" s="35"/>
      <c r="I132" s="35"/>
      <c r="J132" s="104"/>
      <c r="K132" s="104"/>
      <c r="L132" s="104"/>
      <c r="M132" s="35"/>
      <c r="N132" s="104"/>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row>
    <row r="133" spans="1:43" s="12" customFormat="1" x14ac:dyDescent="0.2">
      <c r="A133" s="84"/>
      <c r="B133" s="84"/>
      <c r="C133" s="84"/>
      <c r="D133" s="104"/>
      <c r="E133" s="35"/>
      <c r="F133" s="35"/>
      <c r="G133" s="35"/>
      <c r="H133" s="35"/>
      <c r="I133" s="35"/>
      <c r="J133" s="104"/>
      <c r="K133" s="104"/>
      <c r="L133" s="104"/>
      <c r="M133" s="35"/>
      <c r="N133" s="104"/>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row>
    <row r="134" spans="1:43" s="12" customFormat="1" x14ac:dyDescent="0.2">
      <c r="A134" s="84"/>
      <c r="B134" s="84"/>
      <c r="C134" s="84"/>
      <c r="D134" s="104"/>
      <c r="E134" s="35"/>
      <c r="F134" s="35"/>
      <c r="G134" s="35"/>
      <c r="H134" s="35"/>
      <c r="I134" s="35"/>
      <c r="J134" s="104"/>
      <c r="K134" s="104"/>
      <c r="L134" s="104"/>
      <c r="M134" s="35"/>
      <c r="N134" s="104"/>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row>
    <row r="135" spans="1:43" s="12" customFormat="1" x14ac:dyDescent="0.2">
      <c r="A135" s="84"/>
      <c r="B135" s="84"/>
      <c r="C135" s="84"/>
      <c r="D135" s="104"/>
      <c r="E135" s="35"/>
      <c r="F135" s="35"/>
      <c r="G135" s="35"/>
      <c r="H135" s="35"/>
      <c r="I135" s="35"/>
      <c r="J135" s="104"/>
      <c r="K135" s="104"/>
      <c r="L135" s="104"/>
      <c r="M135" s="35"/>
      <c r="N135" s="104"/>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row>
    <row r="136" spans="1:43" s="12" customFormat="1" x14ac:dyDescent="0.2">
      <c r="A136" s="84"/>
      <c r="B136" s="84"/>
      <c r="C136" s="84"/>
      <c r="D136" s="104"/>
      <c r="E136" s="35"/>
      <c r="F136" s="35"/>
      <c r="G136" s="35"/>
      <c r="H136" s="35"/>
      <c r="I136" s="35"/>
      <c r="J136" s="104"/>
      <c r="K136" s="104"/>
      <c r="L136" s="104"/>
      <c r="M136" s="35"/>
      <c r="N136" s="104"/>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row>
    <row r="137" spans="1:43" s="12" customFormat="1" x14ac:dyDescent="0.2">
      <c r="A137" s="84"/>
      <c r="B137" s="84"/>
      <c r="C137" s="84"/>
      <c r="D137" s="104"/>
      <c r="E137" s="35"/>
      <c r="F137" s="35"/>
      <c r="G137" s="35"/>
      <c r="H137" s="35"/>
      <c r="I137" s="35"/>
      <c r="J137" s="104"/>
      <c r="K137" s="104"/>
      <c r="L137" s="104"/>
      <c r="M137" s="35"/>
      <c r="N137" s="104"/>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row>
    <row r="138" spans="1:43" s="12" customFormat="1" x14ac:dyDescent="0.2">
      <c r="A138" s="84"/>
      <c r="B138" s="84"/>
      <c r="C138" s="84"/>
      <c r="D138" s="104"/>
      <c r="E138" s="35"/>
      <c r="F138" s="35"/>
      <c r="G138" s="35"/>
      <c r="H138" s="35"/>
      <c r="I138" s="35"/>
      <c r="J138" s="104"/>
      <c r="K138" s="104"/>
      <c r="L138" s="104"/>
      <c r="M138" s="35"/>
      <c r="N138" s="104"/>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row>
    <row r="139" spans="1:43" s="12" customFormat="1" x14ac:dyDescent="0.2">
      <c r="A139" s="84"/>
      <c r="B139" s="84"/>
      <c r="C139" s="84"/>
      <c r="D139" s="104"/>
      <c r="E139" s="35"/>
      <c r="F139" s="35"/>
      <c r="G139" s="35"/>
      <c r="H139" s="35"/>
      <c r="I139" s="35"/>
      <c r="J139" s="104"/>
      <c r="K139" s="104"/>
      <c r="L139" s="104"/>
      <c r="M139" s="35"/>
      <c r="N139" s="104"/>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row>
    <row r="140" spans="1:43" s="12" customFormat="1" x14ac:dyDescent="0.2">
      <c r="A140" s="84"/>
      <c r="B140" s="84"/>
      <c r="C140" s="84"/>
      <c r="D140" s="104"/>
      <c r="E140" s="35"/>
      <c r="F140" s="35"/>
      <c r="G140" s="35"/>
      <c r="H140" s="35"/>
      <c r="I140" s="35"/>
      <c r="J140" s="104"/>
      <c r="K140" s="104"/>
      <c r="L140" s="104"/>
      <c r="M140" s="35"/>
      <c r="N140" s="104"/>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row>
    <row r="141" spans="1:43" s="12" customFormat="1" x14ac:dyDescent="0.2">
      <c r="A141" s="84"/>
      <c r="B141" s="84"/>
      <c r="C141" s="84"/>
      <c r="D141" s="104"/>
      <c r="E141" s="35"/>
      <c r="F141" s="35"/>
      <c r="G141" s="35"/>
      <c r="H141" s="35"/>
      <c r="I141" s="35"/>
      <c r="J141" s="104"/>
      <c r="K141" s="104"/>
      <c r="L141" s="104"/>
      <c r="M141" s="35"/>
      <c r="N141" s="104"/>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row>
    <row r="142" spans="1:43" s="12" customFormat="1" x14ac:dyDescent="0.2">
      <c r="A142" s="84"/>
      <c r="B142" s="84"/>
      <c r="C142" s="84"/>
      <c r="D142" s="104"/>
      <c r="E142" s="35"/>
      <c r="F142" s="35"/>
      <c r="G142" s="35"/>
      <c r="H142" s="35"/>
      <c r="I142" s="35"/>
      <c r="J142" s="104"/>
      <c r="K142" s="104"/>
      <c r="L142" s="104"/>
      <c r="M142" s="35"/>
      <c r="N142" s="104"/>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row>
    <row r="143" spans="1:43" s="12" customFormat="1" x14ac:dyDescent="0.2">
      <c r="A143" s="84"/>
      <c r="B143" s="84"/>
      <c r="C143" s="84"/>
      <c r="D143" s="104"/>
      <c r="E143" s="35"/>
      <c r="F143" s="35"/>
      <c r="G143" s="35"/>
      <c r="H143" s="35"/>
      <c r="I143" s="35"/>
      <c r="J143" s="104"/>
      <c r="K143" s="104"/>
      <c r="L143" s="104"/>
      <c r="M143" s="35"/>
      <c r="N143" s="104"/>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row>
    <row r="144" spans="1:43" s="12" customFormat="1" x14ac:dyDescent="0.2">
      <c r="A144" s="84"/>
      <c r="B144" s="84"/>
      <c r="C144" s="84"/>
      <c r="D144" s="104"/>
      <c r="E144" s="35"/>
      <c r="F144" s="35"/>
      <c r="G144" s="35"/>
      <c r="H144" s="35"/>
      <c r="I144" s="35"/>
      <c r="J144" s="104"/>
      <c r="K144" s="104"/>
      <c r="L144" s="104"/>
      <c r="M144" s="35"/>
      <c r="N144" s="104"/>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row>
    <row r="145" spans="1:43" s="12" customFormat="1" x14ac:dyDescent="0.2">
      <c r="A145" s="84"/>
      <c r="B145" s="84"/>
      <c r="C145" s="84"/>
      <c r="D145" s="104"/>
      <c r="E145" s="35"/>
      <c r="F145" s="35"/>
      <c r="G145" s="35"/>
      <c r="H145" s="35"/>
      <c r="I145" s="35"/>
      <c r="J145" s="104"/>
      <c r="K145" s="104"/>
      <c r="L145" s="104"/>
      <c r="M145" s="35"/>
      <c r="N145" s="104"/>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row>
    <row r="146" spans="1:43" s="12" customFormat="1" x14ac:dyDescent="0.2">
      <c r="A146" s="109"/>
      <c r="B146" s="109"/>
      <c r="C146" s="109"/>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row>
    <row r="147" spans="1:43" s="12" customFormat="1" ht="18" customHeight="1" x14ac:dyDescent="0.2"/>
    <row r="148" spans="1:43" s="12" customFormat="1" ht="21" hidden="1" customHeight="1" x14ac:dyDescent="0.2">
      <c r="A148" s="168" t="s">
        <v>82</v>
      </c>
      <c r="B148" s="169"/>
      <c r="C148" s="169"/>
      <c r="D148" s="169"/>
      <c r="E148" s="169"/>
      <c r="F148" s="169"/>
      <c r="G148" s="169"/>
      <c r="H148" s="169"/>
      <c r="I148" s="169"/>
      <c r="J148" s="169"/>
      <c r="K148" s="169"/>
      <c r="L148" s="169"/>
      <c r="M148" s="170"/>
    </row>
    <row r="149" spans="1:43" s="12" customFormat="1" ht="18" hidden="1" customHeight="1" x14ac:dyDescent="0.2">
      <c r="A149" s="13"/>
      <c r="B149" s="13"/>
      <c r="C149" s="13"/>
      <c r="D149" s="13"/>
      <c r="E149" s="13"/>
      <c r="F149" s="13"/>
      <c r="G149" s="13"/>
      <c r="H149" s="13"/>
      <c r="I149" s="13"/>
      <c r="J149" s="13"/>
      <c r="L149" s="13"/>
      <c r="M149" s="13"/>
    </row>
    <row r="150" spans="1:43" s="12" customFormat="1" ht="25.5" hidden="1" customHeight="1" x14ac:dyDescent="0.2">
      <c r="A150" s="13"/>
      <c r="B150" s="156" t="s">
        <v>83</v>
      </c>
      <c r="C150" s="156"/>
      <c r="D150" s="156"/>
      <c r="E150" s="156"/>
      <c r="F150" s="156"/>
      <c r="G150" s="156"/>
      <c r="H150" s="156"/>
      <c r="I150" s="156"/>
      <c r="J150" s="13"/>
      <c r="L150" s="13"/>
      <c r="M150" s="13"/>
      <c r="O150" s="174" t="s">
        <v>84</v>
      </c>
      <c r="P150" s="174"/>
    </row>
    <row r="151" spans="1:43" s="12" customFormat="1" ht="25.5" hidden="1" customHeight="1" x14ac:dyDescent="0.2">
      <c r="A151" s="76" t="s">
        <v>85</v>
      </c>
      <c r="B151" s="110" t="s">
        <v>233</v>
      </c>
      <c r="C151" s="56" t="s">
        <v>181</v>
      </c>
      <c r="D151" s="56" t="s">
        <v>182</v>
      </c>
      <c r="E151" s="56" t="s">
        <v>182</v>
      </c>
      <c r="F151" s="56" t="s">
        <v>202</v>
      </c>
      <c r="G151" s="56"/>
      <c r="H151" s="74" t="s">
        <v>86</v>
      </c>
      <c r="I151" s="74" t="s">
        <v>86</v>
      </c>
      <c r="J151" s="56" t="s">
        <v>70</v>
      </c>
      <c r="K151" s="56" t="s">
        <v>87</v>
      </c>
      <c r="L151" s="56" t="s">
        <v>88</v>
      </c>
      <c r="M151" s="56" t="s">
        <v>89</v>
      </c>
      <c r="O151" s="61" t="s">
        <v>90</v>
      </c>
      <c r="P151" s="61" t="s">
        <v>91</v>
      </c>
    </row>
    <row r="152" spans="1:43" s="12" customFormat="1" ht="25.5" hidden="1" customHeight="1" x14ac:dyDescent="0.2">
      <c r="A152" s="57" t="s">
        <v>92</v>
      </c>
      <c r="B152" s="58"/>
      <c r="C152" s="58"/>
      <c r="D152" s="58"/>
      <c r="E152" s="58"/>
      <c r="F152" s="58"/>
      <c r="G152" s="58"/>
      <c r="H152" s="58"/>
      <c r="I152" s="58"/>
      <c r="J152" s="28"/>
      <c r="K152" s="28"/>
      <c r="L152" s="58"/>
      <c r="M152" s="58"/>
      <c r="O152" s="62" t="str">
        <f>IF(COUNT(B152:I152)='ISM Klassifizierung'!$J$14,IF(SUMPRODUCT((B152:I152&gt;=3)*(B152:I152&lt;&gt;0)*1)&gt;0,'ISM Klassifizierung'!$J$14-SUMPRODUCT((B152:I152&gt;=3)*(B152:I152&lt;&gt;0)*1),"Nein"),"Nein")</f>
        <v>Nein</v>
      </c>
      <c r="P152" s="62" t="str">
        <f>IF(M152="","",VLOOKUP(M152,'ISM Klassifizierung'!$K$4:$L$11,2,FALSE))</f>
        <v/>
      </c>
    </row>
    <row r="153" spans="1:43" s="12" customFormat="1" ht="25.5" hidden="1" customHeight="1" x14ac:dyDescent="0.2">
      <c r="A153" s="57" t="s">
        <v>93</v>
      </c>
      <c r="B153" s="58"/>
      <c r="C153" s="58"/>
      <c r="D153" s="58"/>
      <c r="E153" s="58"/>
      <c r="F153" s="58"/>
      <c r="G153" s="58"/>
      <c r="H153" s="58"/>
      <c r="I153" s="58"/>
      <c r="J153" s="28"/>
      <c r="K153" s="28"/>
      <c r="L153" s="58"/>
      <c r="M153" s="58"/>
      <c r="O153" s="62" t="str">
        <f>IF(COUNT(B153:I153)='ISM Klassifizierung'!$J$14,IF(SUMPRODUCT((B153:I153&gt;=3)*(B153:I153&lt;&gt;0)*1)&gt;0,'ISM Klassifizierung'!$J$14-SUMPRODUCT((B153:I153&gt;=3)*(B153:I153&lt;&gt;0)*1),"Nein"),"Nein")</f>
        <v>Nein</v>
      </c>
      <c r="P153" s="62" t="str">
        <f>IF(M153="","",VLOOKUP(M153,'ISM Klassifizierung'!$K$4:$L$11,2,FALSE))</f>
        <v/>
      </c>
    </row>
    <row r="154" spans="1:43" s="12" customFormat="1" ht="25.5" hidden="1" customHeight="1" x14ac:dyDescent="0.2">
      <c r="A154" s="59" t="s">
        <v>94</v>
      </c>
      <c r="B154" s="58"/>
      <c r="C154" s="58"/>
      <c r="D154" s="58"/>
      <c r="E154" s="58"/>
      <c r="F154" s="58"/>
      <c r="G154" s="58"/>
      <c r="H154" s="58"/>
      <c r="I154" s="58"/>
      <c r="J154" s="28"/>
      <c r="K154" s="28"/>
      <c r="L154" s="58"/>
      <c r="M154" s="58"/>
      <c r="O154" s="62" t="str">
        <f>IF(COUNT(B154:I154)='ISM Klassifizierung'!$J$14,IF(SUMPRODUCT((B154:I154&gt;=3)*(B154:I154&lt;&gt;0)*1)&gt;0,'ISM Klassifizierung'!$J$14-SUMPRODUCT((B154:I154&gt;=3)*(B154:I154&lt;&gt;0)*1),"Nein"),"Nein")</f>
        <v>Nein</v>
      </c>
      <c r="P154" s="62" t="str">
        <f>IF(M154="","",VLOOKUP(M154,'ISM Klassifizierung'!$K$4:$L$11,2,FALSE))</f>
        <v/>
      </c>
    </row>
    <row r="155" spans="1:43" s="12" customFormat="1" ht="25.5" hidden="1" customHeight="1" x14ac:dyDescent="0.2">
      <c r="A155" s="59" t="s">
        <v>95</v>
      </c>
      <c r="B155" s="58"/>
      <c r="C155" s="58"/>
      <c r="D155" s="58"/>
      <c r="E155" s="58"/>
      <c r="F155" s="58"/>
      <c r="G155" s="58"/>
      <c r="H155" s="58"/>
      <c r="I155" s="58"/>
      <c r="J155" s="28"/>
      <c r="K155" s="28"/>
      <c r="L155" s="58"/>
      <c r="M155" s="58"/>
      <c r="O155" s="62" t="str">
        <f>IF(COUNT(B155:I155)='ISM Klassifizierung'!$J$14,IF(SUMPRODUCT((B155:I155&gt;=3)*(B155:I155&lt;&gt;0)*1)&gt;0,'ISM Klassifizierung'!$J$14-SUMPRODUCT((B155:I155&gt;=3)*(B155:I155&lt;&gt;0)*1),"Nein"),"Nein")</f>
        <v>Nein</v>
      </c>
      <c r="P155" s="62" t="str">
        <f>IF(M155="","",VLOOKUP(M155,'ISM Klassifizierung'!$K$4:$L$11,2,FALSE))</f>
        <v/>
      </c>
    </row>
    <row r="156" spans="1:43" s="12" customFormat="1" ht="25.5" hidden="1" customHeight="1" x14ac:dyDescent="0.2">
      <c r="A156" s="13"/>
      <c r="B156" s="13"/>
      <c r="C156" s="13"/>
      <c r="D156" s="13"/>
      <c r="E156" s="13"/>
      <c r="F156" s="13"/>
      <c r="G156" s="13"/>
      <c r="H156" s="13"/>
      <c r="I156" s="13"/>
      <c r="J156" s="13"/>
      <c r="L156" s="13"/>
      <c r="M156" s="13"/>
      <c r="O156" s="63" t="str">
        <f>IF(AND(O152="Nein",O153="Nein",O154="Nein",O155="Nein"),"",MIN(O152:P155))</f>
        <v/>
      </c>
      <c r="P156" s="64"/>
    </row>
    <row r="157" spans="1:43" s="12" customFormat="1" ht="25.5" hidden="1" customHeight="1" x14ac:dyDescent="0.2">
      <c r="A157" s="13"/>
      <c r="B157" s="13"/>
      <c r="C157" s="13"/>
      <c r="D157" s="13"/>
      <c r="E157" s="13"/>
      <c r="F157" s="13"/>
      <c r="G157" s="13"/>
      <c r="H157" s="13"/>
      <c r="I157" s="13"/>
      <c r="J157" s="13"/>
      <c r="K157" s="60" t="s">
        <v>96</v>
      </c>
      <c r="L157" s="56"/>
      <c r="M157" s="13"/>
    </row>
    <row r="158" spans="1:43" s="12" customFormat="1" hidden="1" x14ac:dyDescent="0.2"/>
    <row r="159" spans="1:43" s="12" customFormat="1" hidden="1" x14ac:dyDescent="0.2"/>
    <row r="160" spans="1:43" s="12" customFormat="1" hidden="1" x14ac:dyDescent="0.2"/>
    <row r="161" s="12" customFormat="1" hidden="1" x14ac:dyDescent="0.2"/>
    <row r="162" s="12" customFormat="1" hidden="1" x14ac:dyDescent="0.2"/>
    <row r="163" s="12" customFormat="1" hidden="1" x14ac:dyDescent="0.2"/>
    <row r="164" s="12" customFormat="1" hidden="1" x14ac:dyDescent="0.2"/>
    <row r="165" s="12" customFormat="1" hidden="1" x14ac:dyDescent="0.2"/>
    <row r="166" s="12" customFormat="1" hidden="1" x14ac:dyDescent="0.2"/>
    <row r="167" s="12" customFormat="1" hidden="1" x14ac:dyDescent="0.2"/>
    <row r="168" s="12" customFormat="1" hidden="1" x14ac:dyDescent="0.2"/>
    <row r="169" s="12" customFormat="1" hidden="1" x14ac:dyDescent="0.2"/>
    <row r="170" s="12" customFormat="1" hidden="1" x14ac:dyDescent="0.2"/>
    <row r="171" s="12" customFormat="1" hidden="1" x14ac:dyDescent="0.2"/>
    <row r="172" s="12" customFormat="1" hidden="1" x14ac:dyDescent="0.2"/>
    <row r="173" s="12" customFormat="1" hidden="1" x14ac:dyDescent="0.2"/>
    <row r="174" s="12" customFormat="1" hidden="1" x14ac:dyDescent="0.2"/>
    <row r="175" s="12" customFormat="1" hidden="1" x14ac:dyDescent="0.2"/>
    <row r="176" s="12" customFormat="1" hidden="1" x14ac:dyDescent="0.2"/>
    <row r="177" s="12" customFormat="1" hidden="1" x14ac:dyDescent="0.2"/>
    <row r="178" s="12" customFormat="1" hidden="1" x14ac:dyDescent="0.2"/>
    <row r="179" s="12" customFormat="1" hidden="1" x14ac:dyDescent="0.2"/>
    <row r="180" s="12" customFormat="1" hidden="1" x14ac:dyDescent="0.2"/>
    <row r="181" s="12" customFormat="1" hidden="1" x14ac:dyDescent="0.2"/>
    <row r="182" s="12" customFormat="1" hidden="1" x14ac:dyDescent="0.2"/>
    <row r="183" s="12" customFormat="1" hidden="1" x14ac:dyDescent="0.2"/>
    <row r="184" s="12" customFormat="1" hidden="1" x14ac:dyDescent="0.2"/>
    <row r="185" s="12" customFormat="1" hidden="1" x14ac:dyDescent="0.2"/>
    <row r="186" s="12" customFormat="1" hidden="1" x14ac:dyDescent="0.2"/>
    <row r="187" s="12" customFormat="1" hidden="1" x14ac:dyDescent="0.2"/>
    <row r="188" s="12" customFormat="1" hidden="1" x14ac:dyDescent="0.2"/>
    <row r="189" s="12" customFormat="1" hidden="1" x14ac:dyDescent="0.2"/>
    <row r="190" s="12" customFormat="1" hidden="1" x14ac:dyDescent="0.2"/>
    <row r="191" s="12" customFormat="1" hidden="1" x14ac:dyDescent="0.2"/>
    <row r="192" s="12" customFormat="1" hidden="1" x14ac:dyDescent="0.2"/>
    <row r="193" s="12" customFormat="1" hidden="1" x14ac:dyDescent="0.2"/>
    <row r="194" s="12" customFormat="1" hidden="1" x14ac:dyDescent="0.2"/>
    <row r="195" s="12" customFormat="1" hidden="1" x14ac:dyDescent="0.2"/>
    <row r="196" s="12" customFormat="1" hidden="1" x14ac:dyDescent="0.2"/>
    <row r="197" s="12" customFormat="1" hidden="1" x14ac:dyDescent="0.2"/>
    <row r="198" s="12" customFormat="1" hidden="1" x14ac:dyDescent="0.2"/>
    <row r="199" s="12" customFormat="1" hidden="1" x14ac:dyDescent="0.2"/>
    <row r="200" s="12" customFormat="1" hidden="1" x14ac:dyDescent="0.2"/>
    <row r="201" s="12" customFormat="1" hidden="1" x14ac:dyDescent="0.2"/>
    <row r="202" s="12" customFormat="1" hidden="1" x14ac:dyDescent="0.2"/>
    <row r="203" s="12" customFormat="1" hidden="1" x14ac:dyDescent="0.2"/>
    <row r="204" s="12" customFormat="1" hidden="1" x14ac:dyDescent="0.2"/>
    <row r="205" s="12" customFormat="1" hidden="1" x14ac:dyDescent="0.2"/>
    <row r="206" s="12" customFormat="1" hidden="1" x14ac:dyDescent="0.2"/>
    <row r="207" s="12" customFormat="1" hidden="1" x14ac:dyDescent="0.2"/>
    <row r="208" s="12" customFormat="1" hidden="1" x14ac:dyDescent="0.2"/>
    <row r="209" s="12" customFormat="1" hidden="1" x14ac:dyDescent="0.2"/>
    <row r="210" s="12" customFormat="1" hidden="1" x14ac:dyDescent="0.2"/>
    <row r="211" s="12" customFormat="1" hidden="1" x14ac:dyDescent="0.2"/>
    <row r="212" s="12" customFormat="1" hidden="1" x14ac:dyDescent="0.2"/>
    <row r="213" s="12" customFormat="1" hidden="1" x14ac:dyDescent="0.2"/>
    <row r="214" s="12" customFormat="1" hidden="1" x14ac:dyDescent="0.2"/>
    <row r="215" s="12" customFormat="1" hidden="1" x14ac:dyDescent="0.2"/>
    <row r="216" s="12" customFormat="1" hidden="1" x14ac:dyDescent="0.2"/>
    <row r="217" s="12" customFormat="1" hidden="1" x14ac:dyDescent="0.2"/>
    <row r="218" s="12" customFormat="1" hidden="1" x14ac:dyDescent="0.2"/>
    <row r="219" s="12" customFormat="1" hidden="1" x14ac:dyDescent="0.2"/>
    <row r="220" s="12" customFormat="1" hidden="1" x14ac:dyDescent="0.2"/>
    <row r="221" s="12" customFormat="1" hidden="1" x14ac:dyDescent="0.2"/>
    <row r="222" s="12" customFormat="1" hidden="1" x14ac:dyDescent="0.2"/>
    <row r="223" s="12" customFormat="1" hidden="1" x14ac:dyDescent="0.2"/>
    <row r="224" s="12" customFormat="1" hidden="1" x14ac:dyDescent="0.2"/>
    <row r="225" s="12" customFormat="1" hidden="1" x14ac:dyDescent="0.2"/>
  </sheetData>
  <mergeCells count="87">
    <mergeCell ref="A111:B111"/>
    <mergeCell ref="A148:M148"/>
    <mergeCell ref="B150:I150"/>
    <mergeCell ref="O150:P150"/>
    <mergeCell ref="E103:F103"/>
    <mergeCell ref="A105:B105"/>
    <mergeCell ref="A106:B106"/>
    <mergeCell ref="A108:B108"/>
    <mergeCell ref="A110:B110"/>
    <mergeCell ref="E102:F102"/>
    <mergeCell ref="E91:F91"/>
    <mergeCell ref="E92:F92"/>
    <mergeCell ref="E93:F93"/>
    <mergeCell ref="E94:F94"/>
    <mergeCell ref="E95:F95"/>
    <mergeCell ref="E96:F96"/>
    <mergeCell ref="E97:F97"/>
    <mergeCell ref="E98:F98"/>
    <mergeCell ref="E99:F99"/>
    <mergeCell ref="E100:F100"/>
    <mergeCell ref="E101:F101"/>
    <mergeCell ref="E90:F90"/>
    <mergeCell ref="E79:F79"/>
    <mergeCell ref="E80:F80"/>
    <mergeCell ref="E81:F81"/>
    <mergeCell ref="E82:F82"/>
    <mergeCell ref="E83:F83"/>
    <mergeCell ref="E84:F84"/>
    <mergeCell ref="E85:F85"/>
    <mergeCell ref="E86:F86"/>
    <mergeCell ref="E87:F87"/>
    <mergeCell ref="E88:F88"/>
    <mergeCell ref="E89:F89"/>
    <mergeCell ref="E78:F78"/>
    <mergeCell ref="C71:E71"/>
    <mergeCell ref="G71:J71"/>
    <mergeCell ref="C72:E72"/>
    <mergeCell ref="G72:J72"/>
    <mergeCell ref="C73:E73"/>
    <mergeCell ref="G73:J73"/>
    <mergeCell ref="C74:E74"/>
    <mergeCell ref="G74:J74"/>
    <mergeCell ref="C75:E75"/>
    <mergeCell ref="G75:J75"/>
    <mergeCell ref="E77:F77"/>
    <mergeCell ref="C68:E68"/>
    <mergeCell ref="G68:J68"/>
    <mergeCell ref="C69:E69"/>
    <mergeCell ref="G69:J69"/>
    <mergeCell ref="C70:E70"/>
    <mergeCell ref="G70:J70"/>
    <mergeCell ref="C65:E65"/>
    <mergeCell ref="G65:J65"/>
    <mergeCell ref="C66:E66"/>
    <mergeCell ref="G66:J66"/>
    <mergeCell ref="C67:E67"/>
    <mergeCell ref="G67:J67"/>
    <mergeCell ref="C62:E62"/>
    <mergeCell ref="G62:J62"/>
    <mergeCell ref="C63:E63"/>
    <mergeCell ref="G63:J63"/>
    <mergeCell ref="C64:E64"/>
    <mergeCell ref="G64:J64"/>
    <mergeCell ref="C59:E59"/>
    <mergeCell ref="G59:J59"/>
    <mergeCell ref="C60:E60"/>
    <mergeCell ref="G60:J60"/>
    <mergeCell ref="C61:E61"/>
    <mergeCell ref="G61:J61"/>
    <mergeCell ref="C56:E56"/>
    <mergeCell ref="G56:J56"/>
    <mergeCell ref="C57:E57"/>
    <mergeCell ref="G57:J57"/>
    <mergeCell ref="C58:E58"/>
    <mergeCell ref="G58:J58"/>
    <mergeCell ref="B6:F6"/>
    <mergeCell ref="A9:J9"/>
    <mergeCell ref="A53:R53"/>
    <mergeCell ref="K54:R54"/>
    <mergeCell ref="C55:E55"/>
    <mergeCell ref="G55:J55"/>
    <mergeCell ref="B5:F5"/>
    <mergeCell ref="B1:E1"/>
    <mergeCell ref="J1:K1"/>
    <mergeCell ref="B2:F2"/>
    <mergeCell ref="B3:F3"/>
    <mergeCell ref="B4:F4"/>
  </mergeCells>
  <conditionalFormatting sqref="J13:J39 J44:J51">
    <cfRule type="expression" dxfId="110" priority="137">
      <formula>$B13="nein"</formula>
    </cfRule>
  </conditionalFormatting>
  <conditionalFormatting sqref="C12:J12 C17:I51 H13:I16">
    <cfRule type="expression" dxfId="109" priority="136">
      <formula>$B12="nein"</formula>
    </cfRule>
  </conditionalFormatting>
  <conditionalFormatting sqref="C17:D51 F17:F51">
    <cfRule type="expression" dxfId="108" priority="135">
      <formula>$B17="nein"</formula>
    </cfRule>
  </conditionalFormatting>
  <conditionalFormatting sqref="J40:J43">
    <cfRule type="expression" dxfId="107" priority="134">
      <formula>$B40="nein"</formula>
    </cfRule>
  </conditionalFormatting>
  <conditionalFormatting sqref="G12:I12 G17:I51 H13:I16">
    <cfRule type="expression" dxfId="106" priority="133">
      <formula>$B12="nein"</formula>
    </cfRule>
  </conditionalFormatting>
  <conditionalFormatting sqref="E12 E17:E51">
    <cfRule type="expression" dxfId="105" priority="132">
      <formula>$B12="nein"</formula>
    </cfRule>
  </conditionalFormatting>
  <conditionalFormatting sqref="O105">
    <cfRule type="expression" dxfId="104" priority="74">
      <formula>O$105=0</formula>
    </cfRule>
  </conditionalFormatting>
  <conditionalFormatting sqref="P105:P113 P118:P146">
    <cfRule type="expression" dxfId="103" priority="73">
      <formula>P$105=0</formula>
    </cfRule>
  </conditionalFormatting>
  <conditionalFormatting sqref="Q105:Q146">
    <cfRule type="expression" dxfId="102" priority="72">
      <formula>Q$105=0</formula>
    </cfRule>
  </conditionalFormatting>
  <conditionalFormatting sqref="R105:R146">
    <cfRule type="expression" dxfId="101" priority="71">
      <formula>R$105=0</formula>
    </cfRule>
  </conditionalFormatting>
  <conditionalFormatting sqref="S105:S146">
    <cfRule type="expression" dxfId="100" priority="70">
      <formula>S$105=0</formula>
    </cfRule>
  </conditionalFormatting>
  <conditionalFormatting sqref="T105:T146">
    <cfRule type="expression" dxfId="99" priority="69">
      <formula>T$105=0</formula>
    </cfRule>
  </conditionalFormatting>
  <conditionalFormatting sqref="U105:U146">
    <cfRule type="expression" dxfId="98" priority="68">
      <formula>U$105=0</formula>
    </cfRule>
  </conditionalFormatting>
  <conditionalFormatting sqref="V105:V146">
    <cfRule type="expression" dxfId="97" priority="67">
      <formula>V$105=0</formula>
    </cfRule>
  </conditionalFormatting>
  <conditionalFormatting sqref="W105:W146">
    <cfRule type="expression" dxfId="96" priority="66">
      <formula>W$105=0</formula>
    </cfRule>
  </conditionalFormatting>
  <conditionalFormatting sqref="X105:X146">
    <cfRule type="expression" dxfId="95" priority="65">
      <formula>X$105=0</formula>
    </cfRule>
  </conditionalFormatting>
  <conditionalFormatting sqref="Y105:Y146">
    <cfRule type="expression" dxfId="94" priority="64">
      <formula>Y$105=0</formula>
    </cfRule>
  </conditionalFormatting>
  <conditionalFormatting sqref="Z105:Z146">
    <cfRule type="expression" dxfId="93" priority="63">
      <formula>Z$105=0</formula>
    </cfRule>
  </conditionalFormatting>
  <conditionalFormatting sqref="AA105:AA146">
    <cfRule type="expression" dxfId="92" priority="62">
      <formula>AA$105=0</formula>
    </cfRule>
  </conditionalFormatting>
  <conditionalFormatting sqref="AB105:AB146">
    <cfRule type="expression" dxfId="91" priority="61">
      <formula>AB$105=0</formula>
    </cfRule>
  </conditionalFormatting>
  <conditionalFormatting sqref="AC105:AC146">
    <cfRule type="expression" dxfId="90" priority="60">
      <formula>AC$105=0</formula>
    </cfRule>
  </conditionalFormatting>
  <conditionalFormatting sqref="AD105:AD146">
    <cfRule type="expression" dxfId="89" priority="59">
      <formula>AD$105=0</formula>
    </cfRule>
  </conditionalFormatting>
  <conditionalFormatting sqref="F56:F75">
    <cfRule type="expression" dxfId="88" priority="36">
      <formula>$L$157="-"</formula>
    </cfRule>
    <cfRule type="expression" dxfId="87" priority="131">
      <formula>$B56="nein"</formula>
    </cfRule>
  </conditionalFormatting>
  <conditionalFormatting sqref="F56:F75">
    <cfRule type="expression" dxfId="86" priority="130">
      <formula>$B56="nein"</formula>
    </cfRule>
  </conditionalFormatting>
  <conditionalFormatting sqref="C78:C85">
    <cfRule type="expression" dxfId="85" priority="129">
      <formula>$B78="nein"</formula>
    </cfRule>
  </conditionalFormatting>
  <conditionalFormatting sqref="C78:C85">
    <cfRule type="expression" dxfId="84" priority="128">
      <formula>$B78="nein"</formula>
    </cfRule>
  </conditionalFormatting>
  <conditionalFormatting sqref="C86:C103">
    <cfRule type="expression" dxfId="83" priority="127">
      <formula>$B86="nein"</formula>
    </cfRule>
  </conditionalFormatting>
  <conditionalFormatting sqref="C86:C103">
    <cfRule type="expression" dxfId="82" priority="126">
      <formula>$B86="nein"</formula>
    </cfRule>
  </conditionalFormatting>
  <conditionalFormatting sqref="AE105:AE146">
    <cfRule type="expression" dxfId="81" priority="58">
      <formula>AE$105=0</formula>
    </cfRule>
  </conditionalFormatting>
  <conditionalFormatting sqref="AF105:AF146">
    <cfRule type="expression" dxfId="80" priority="57">
      <formula>AF$105=0</formula>
    </cfRule>
  </conditionalFormatting>
  <conditionalFormatting sqref="AG105:AG146">
    <cfRule type="expression" dxfId="79" priority="56">
      <formula>AG$105=0</formula>
    </cfRule>
  </conditionalFormatting>
  <conditionalFormatting sqref="AH105:AH146">
    <cfRule type="expression" dxfId="78" priority="55">
      <formula>AH$105=0</formula>
    </cfRule>
  </conditionalFormatting>
  <conditionalFormatting sqref="AI105:AI146">
    <cfRule type="expression" dxfId="77" priority="54">
      <formula>AI$105=0</formula>
    </cfRule>
  </conditionalFormatting>
  <conditionalFormatting sqref="AJ105:AJ146">
    <cfRule type="expression" dxfId="76" priority="53">
      <formula>AJ$105=0</formula>
    </cfRule>
  </conditionalFormatting>
  <conditionalFormatting sqref="AK105:AK146">
    <cfRule type="expression" dxfId="75" priority="52">
      <formula>AK$105=0</formula>
    </cfRule>
  </conditionalFormatting>
  <conditionalFormatting sqref="AL105:AL146">
    <cfRule type="expression" dxfId="74" priority="51">
      <formula>AL$105=0</formula>
    </cfRule>
  </conditionalFormatting>
  <conditionalFormatting sqref="AM105:AM146">
    <cfRule type="expression" dxfId="73" priority="50">
      <formula>AM$105=0</formula>
    </cfRule>
  </conditionalFormatting>
  <conditionalFormatting sqref="AN105:AN146">
    <cfRule type="expression" dxfId="72" priority="49">
      <formula>AN$105=0</formula>
    </cfRule>
  </conditionalFormatting>
  <conditionalFormatting sqref="AO105:AO146">
    <cfRule type="expression" dxfId="71" priority="48">
      <formula>AO$105=0</formula>
    </cfRule>
  </conditionalFormatting>
  <conditionalFormatting sqref="AP105:AP146">
    <cfRule type="expression" dxfId="70" priority="47">
      <formula>AP$105=0</formula>
    </cfRule>
  </conditionalFormatting>
  <conditionalFormatting sqref="AQ105:AQ146">
    <cfRule type="expression" dxfId="69" priority="46">
      <formula>AQ$105=0</formula>
    </cfRule>
  </conditionalFormatting>
  <conditionalFormatting sqref="P118:AQ146 Q114:AQ117 P106:AQ113">
    <cfRule type="cellIs" dxfId="68" priority="45" operator="equal">
      <formula>"x"</formula>
    </cfRule>
  </conditionalFormatting>
  <conditionalFormatting sqref="P106:P113 P118:P146">
    <cfRule type="expression" dxfId="67" priority="98" stopIfTrue="1">
      <formula>AND($A$24&lt;&gt;"",$B$24&lt;&gt;"ja")</formula>
    </cfRule>
  </conditionalFormatting>
  <conditionalFormatting sqref="Q106:Q146">
    <cfRule type="expression" dxfId="66" priority="99" stopIfTrue="1">
      <formula>AND($A$25&lt;&gt;"",$B$25&lt;&gt;"ja")</formula>
    </cfRule>
  </conditionalFormatting>
  <conditionalFormatting sqref="R106:R146">
    <cfRule type="expression" dxfId="65" priority="100" stopIfTrue="1">
      <formula>AND($A$26&lt;&gt;"",$B$26&lt;&gt;"ja")</formula>
    </cfRule>
  </conditionalFormatting>
  <conditionalFormatting sqref="S106:S146">
    <cfRule type="expression" dxfId="64" priority="101" stopIfTrue="1">
      <formula>AND($A$27&lt;&gt;"",$B$27&lt;&gt;"ja")</formula>
    </cfRule>
  </conditionalFormatting>
  <conditionalFormatting sqref="T106:T146">
    <cfRule type="expression" dxfId="63" priority="102" stopIfTrue="1">
      <formula>AND($A$28&lt;&gt;"",$B$28&lt;&gt;"ja")</formula>
    </cfRule>
  </conditionalFormatting>
  <conditionalFormatting sqref="U106:U146">
    <cfRule type="expression" dxfId="62" priority="103" stopIfTrue="1">
      <formula>AND($A$29&lt;&gt;"",$B$29&lt;&gt;"ja")</formula>
    </cfRule>
  </conditionalFormatting>
  <conditionalFormatting sqref="V106:V146">
    <cfRule type="expression" dxfId="61" priority="104" stopIfTrue="1">
      <formula>AND($A$30&lt;&gt;"",$B$30&lt;&gt;"ja")</formula>
    </cfRule>
  </conditionalFormatting>
  <conditionalFormatting sqref="W106:W146">
    <cfRule type="expression" dxfId="60" priority="105" stopIfTrue="1">
      <formula>AND($A$31&lt;&gt;"",$B$31&lt;&gt;"ja")</formula>
    </cfRule>
  </conditionalFormatting>
  <conditionalFormatting sqref="X106:X146">
    <cfRule type="expression" dxfId="59" priority="106" stopIfTrue="1">
      <formula>AND($A$32&lt;&gt;"",$B$32&lt;&gt;"ja")</formula>
    </cfRule>
  </conditionalFormatting>
  <conditionalFormatting sqref="Y106:Y146">
    <cfRule type="expression" dxfId="58" priority="107" stopIfTrue="1">
      <formula>AND($A$33&lt;&gt;"",$B$33&lt;&gt;"ja")</formula>
    </cfRule>
  </conditionalFormatting>
  <conditionalFormatting sqref="Z106:Z146">
    <cfRule type="expression" dxfId="57" priority="108" stopIfTrue="1">
      <formula>AND($A$34&lt;&gt;"",$B$34&lt;&gt;"ja")</formula>
    </cfRule>
  </conditionalFormatting>
  <conditionalFormatting sqref="AA106:AA146">
    <cfRule type="expression" dxfId="56" priority="109" stopIfTrue="1">
      <formula>AND($A$35&lt;&gt;"",$B$35&lt;&gt;"ja")</formula>
    </cfRule>
  </conditionalFormatting>
  <conditionalFormatting sqref="AB106:AB146">
    <cfRule type="expression" dxfId="55" priority="110" stopIfTrue="1">
      <formula>AND($A$36&lt;&gt;"",$B$36&lt;&gt;"ja")</formula>
    </cfRule>
  </conditionalFormatting>
  <conditionalFormatting sqref="AC106:AC146">
    <cfRule type="expression" dxfId="54" priority="111" stopIfTrue="1">
      <formula>AND($A$37&lt;&gt;"",$B$37&lt;&gt;"ja")</formula>
    </cfRule>
  </conditionalFormatting>
  <conditionalFormatting sqref="AD106:AD146">
    <cfRule type="expression" dxfId="53" priority="112" stopIfTrue="1">
      <formula>AND($A$38&lt;&gt;"",$B$38&lt;&gt;"ja")</formula>
    </cfRule>
  </conditionalFormatting>
  <conditionalFormatting sqref="AE106:AE146">
    <cfRule type="expression" dxfId="52" priority="113" stopIfTrue="1">
      <formula>AND($A$39&lt;&gt;"",$B$39&lt;&gt;"ja")</formula>
    </cfRule>
  </conditionalFormatting>
  <conditionalFormatting sqref="AF106:AF146">
    <cfRule type="expression" dxfId="51" priority="114" stopIfTrue="1">
      <formula>AND($A$40&lt;&gt;"",$B$40&lt;&gt;"ja")</formula>
    </cfRule>
  </conditionalFormatting>
  <conditionalFormatting sqref="AG106:AG146">
    <cfRule type="expression" dxfId="50" priority="115" stopIfTrue="1">
      <formula>AND($A$41&lt;&gt;"",$B$41&lt;&gt;"ja")</formula>
    </cfRule>
  </conditionalFormatting>
  <conditionalFormatting sqref="AH106:AH146">
    <cfRule type="expression" dxfId="49" priority="116" stopIfTrue="1">
      <formula>AND($A$42&lt;&gt;"",$B$42&lt;&gt;"ja")</formula>
    </cfRule>
  </conditionalFormatting>
  <conditionalFormatting sqref="AI106:AI146">
    <cfRule type="expression" dxfId="48" priority="117" stopIfTrue="1">
      <formula>AND($A$43&lt;&gt;"",$B$43&lt;&gt;"ja")</formula>
    </cfRule>
  </conditionalFormatting>
  <conditionalFormatting sqref="AJ106:AJ146">
    <cfRule type="expression" dxfId="47" priority="118" stopIfTrue="1">
      <formula>AND($A$44&lt;&gt;"",$B$44&lt;&gt;"ja")</formula>
    </cfRule>
  </conditionalFormatting>
  <conditionalFormatting sqref="AK106:AK146">
    <cfRule type="expression" dxfId="46" priority="119" stopIfTrue="1">
      <formula>AND($A$45&lt;&gt;"",$B$45&lt;&gt;"ja")</formula>
    </cfRule>
  </conditionalFormatting>
  <conditionalFormatting sqref="AL106:AL146">
    <cfRule type="expression" dxfId="45" priority="120" stopIfTrue="1">
      <formula>AND($A$46&lt;&gt;"",$B$46&lt;&gt;"ja")</formula>
    </cfRule>
  </conditionalFormatting>
  <conditionalFormatting sqref="AM106:AM146">
    <cfRule type="expression" dxfId="44" priority="121" stopIfTrue="1">
      <formula>AND($A$47&lt;&gt;"",$B$47&lt;&gt;"ja")</formula>
    </cfRule>
  </conditionalFormatting>
  <conditionalFormatting sqref="AN106:AN146">
    <cfRule type="expression" dxfId="43" priority="122" stopIfTrue="1">
      <formula>AND($A$48&lt;&gt;"",$B$48&lt;&gt;"ja")</formula>
    </cfRule>
  </conditionalFormatting>
  <conditionalFormatting sqref="AO106:AO146">
    <cfRule type="expression" dxfId="42" priority="123" stopIfTrue="1">
      <formula>AND($A$49&lt;&gt;"",$B$49&lt;&gt;"ja")</formula>
    </cfRule>
  </conditionalFormatting>
  <conditionalFormatting sqref="AP106:AP146">
    <cfRule type="expression" dxfId="41" priority="124" stopIfTrue="1">
      <formula>AND($A$50&lt;&gt;"",$B$50&lt;&gt;"ja")</formula>
    </cfRule>
  </conditionalFormatting>
  <conditionalFormatting sqref="AQ106:AQ146">
    <cfRule type="expression" dxfId="40" priority="125" stopIfTrue="1">
      <formula>AND($A$51&lt;&gt;"",$B$51&lt;&gt;"ja")</formula>
    </cfRule>
  </conditionalFormatting>
  <conditionalFormatting sqref="K56:K75">
    <cfRule type="expression" dxfId="39" priority="44">
      <formula>$F56&lt;&gt;"Ja"</formula>
    </cfRule>
  </conditionalFormatting>
  <conditionalFormatting sqref="L56:L75">
    <cfRule type="expression" dxfId="38" priority="43">
      <formula>$F56&lt;&gt;"Ja"</formula>
    </cfRule>
  </conditionalFormatting>
  <conditionalFormatting sqref="M56:M75">
    <cfRule type="expression" dxfId="37" priority="42">
      <formula>$F56&lt;&gt;"Ja"</formula>
    </cfRule>
  </conditionalFormatting>
  <conditionalFormatting sqref="N56:N75">
    <cfRule type="expression" dxfId="36" priority="41">
      <formula>$F56&lt;&gt;"Ja"</formula>
    </cfRule>
  </conditionalFormatting>
  <conditionalFormatting sqref="O56:O75">
    <cfRule type="expression" dxfId="35" priority="40">
      <formula>$F56&lt;&gt;"Ja"</formula>
    </cfRule>
  </conditionalFormatting>
  <conditionalFormatting sqref="P56:P75">
    <cfRule type="expression" dxfId="34" priority="39">
      <formula>$F56&lt;&gt;"Ja"</formula>
    </cfRule>
  </conditionalFormatting>
  <conditionalFormatting sqref="Q56:Q75">
    <cfRule type="expression" dxfId="33" priority="38">
      <formula>$F56&lt;&gt;"Ja"</formula>
    </cfRule>
  </conditionalFormatting>
  <conditionalFormatting sqref="R56:R75">
    <cfRule type="expression" dxfId="32" priority="37">
      <formula>$F56&lt;&gt;"Ja"</formula>
    </cfRule>
  </conditionalFormatting>
  <conditionalFormatting sqref="C78:C103">
    <cfRule type="expression" dxfId="31" priority="35">
      <formula>$L$157="-"</formula>
    </cfRule>
  </conditionalFormatting>
  <conditionalFormatting sqref="C106:C146">
    <cfRule type="expression" dxfId="30" priority="34">
      <formula>$L$157="-"</formula>
    </cfRule>
  </conditionalFormatting>
  <conditionalFormatting sqref="H78:H91">
    <cfRule type="expression" dxfId="29" priority="33">
      <formula>$B78="nein"</formula>
    </cfRule>
  </conditionalFormatting>
  <conditionalFormatting sqref="H78:H91">
    <cfRule type="expression" dxfId="28" priority="32">
      <formula>$B78="nein"</formula>
    </cfRule>
  </conditionalFormatting>
  <conditionalFormatting sqref="H86:H103">
    <cfRule type="expression" dxfId="27" priority="31">
      <formula>$B86="nein"</formula>
    </cfRule>
  </conditionalFormatting>
  <conditionalFormatting sqref="H86:H103">
    <cfRule type="expression" dxfId="26" priority="30">
      <formula>$B86="nein"</formula>
    </cfRule>
  </conditionalFormatting>
  <conditionalFormatting sqref="H78:H103">
    <cfRule type="expression" dxfId="25" priority="29">
      <formula>$L$157="-"</formula>
    </cfRule>
  </conditionalFormatting>
  <conditionalFormatting sqref="C12:D12 F12 F17:F37">
    <cfRule type="expression" dxfId="24" priority="28">
      <formula>$B12="nein"</formula>
    </cfRule>
  </conditionalFormatting>
  <conditionalFormatting sqref="C17:C37">
    <cfRule type="expression" dxfId="23" priority="26">
      <formula>$B17="nein"</formula>
    </cfRule>
  </conditionalFormatting>
  <conditionalFormatting sqref="D17:D37">
    <cfRule type="expression" dxfId="22" priority="25">
      <formula>$B17="nein"</formula>
    </cfRule>
  </conditionalFormatting>
  <conditionalFormatting sqref="F105">
    <cfRule type="expression" dxfId="21" priority="24">
      <formula>F$105=0</formula>
    </cfRule>
  </conditionalFormatting>
  <conditionalFormatting sqref="G105">
    <cfRule type="expression" dxfId="20" priority="23">
      <formula>G$105=0</formula>
    </cfRule>
  </conditionalFormatting>
  <conditionalFormatting sqref="E105">
    <cfRule type="expression" dxfId="19" priority="22">
      <formula>E$105=0</formula>
    </cfRule>
  </conditionalFormatting>
  <conditionalFormatting sqref="D105">
    <cfRule type="expression" dxfId="18" priority="21">
      <formula>D$105=0</formula>
    </cfRule>
  </conditionalFormatting>
  <conditionalFormatting sqref="H105">
    <cfRule type="expression" dxfId="17" priority="20">
      <formula>H$105=0</formula>
    </cfRule>
  </conditionalFormatting>
  <conditionalFormatting sqref="I105">
    <cfRule type="expression" dxfId="16" priority="19">
      <formula>I$105=0</formula>
    </cfRule>
  </conditionalFormatting>
  <conditionalFormatting sqref="J105">
    <cfRule type="expression" dxfId="15" priority="18">
      <formula>J$105=0</formula>
    </cfRule>
  </conditionalFormatting>
  <conditionalFormatting sqref="K105">
    <cfRule type="expression" dxfId="14" priority="17">
      <formula>K$105=0</formula>
    </cfRule>
  </conditionalFormatting>
  <conditionalFormatting sqref="L105">
    <cfRule type="expression" dxfId="13" priority="16">
      <formula>L$105=0</formula>
    </cfRule>
  </conditionalFormatting>
  <conditionalFormatting sqref="M105">
    <cfRule type="expression" dxfId="12" priority="15">
      <formula>M$105=0</formula>
    </cfRule>
  </conditionalFormatting>
  <conditionalFormatting sqref="N105">
    <cfRule type="expression" dxfId="11" priority="14">
      <formula>N$105=0</formula>
    </cfRule>
  </conditionalFormatting>
  <conditionalFormatting sqref="C13:G16">
    <cfRule type="expression" dxfId="10" priority="13">
      <formula>$B13="nein"</formula>
    </cfRule>
  </conditionalFormatting>
  <conditionalFormatting sqref="C16:D16 F16">
    <cfRule type="expression" dxfId="9" priority="12">
      <formula>$B16="nein"</formula>
    </cfRule>
  </conditionalFormatting>
  <conditionalFormatting sqref="G13:G16">
    <cfRule type="expression" dxfId="8" priority="11">
      <formula>$B13="nein"</formula>
    </cfRule>
  </conditionalFormatting>
  <conditionalFormatting sqref="E13:E16">
    <cfRule type="expression" dxfId="7" priority="10">
      <formula>$B13="nein"</formula>
    </cfRule>
  </conditionalFormatting>
  <conditionalFormatting sqref="F13:F16">
    <cfRule type="expression" dxfId="6" priority="9">
      <formula>$B13="nein"</formula>
    </cfRule>
  </conditionalFormatting>
  <conditionalFormatting sqref="C13">
    <cfRule type="expression" dxfId="5" priority="8">
      <formula>$B13="nein"</formula>
    </cfRule>
  </conditionalFormatting>
  <conditionalFormatting sqref="C15:C16">
    <cfRule type="expression" dxfId="4" priority="7">
      <formula>$B15="nein"</formula>
    </cfRule>
  </conditionalFormatting>
  <conditionalFormatting sqref="D13:D16">
    <cfRule type="expression" dxfId="3" priority="6">
      <formula>$B13="nein"</formula>
    </cfRule>
  </conditionalFormatting>
  <conditionalFormatting sqref="P115:P116">
    <cfRule type="expression" dxfId="2" priority="4">
      <formula>P$105=0</formula>
    </cfRule>
  </conditionalFormatting>
  <conditionalFormatting sqref="P115:P116">
    <cfRule type="cellIs" dxfId="1" priority="3" operator="equal">
      <formula>"x"</formula>
    </cfRule>
  </conditionalFormatting>
  <conditionalFormatting sqref="P115:P116">
    <cfRule type="expression" dxfId="0" priority="5" stopIfTrue="1">
      <formula>AND($A$24&lt;&gt;"",$B$24&lt;&gt;"ja")</formula>
    </cfRule>
  </conditionalFormatting>
  <dataValidations count="5">
    <dataValidation type="list" allowBlank="1" showInputMessage="1" showErrorMessage="1" sqref="H152:I155">
      <formula1>"1,2,3,4"</formula1>
    </dataValidation>
    <dataValidation type="list" allowBlank="1" showInputMessage="1" showErrorMessage="1" promptTitle="Mehrfachselektion möglich" prompt="Für Mehrfachselektion bitte nacheinander über Drop-Down Werte auswählen." sqref="D106:AQ146">
      <formula1>"x"</formula1>
    </dataValidation>
    <dataValidation type="list" allowBlank="1" showInputMessage="1" showErrorMessage="1" sqref="G78:G103 B56:B75 B12:B51 B78:B103">
      <formula1>"ja, nein"</formula1>
    </dataValidation>
    <dataValidation type="list" allowBlank="1" showErrorMessage="1" sqref="G12:G51">
      <formula1>"nicht personenbezogen, personenbezogen, besonders personenbezogen"</formula1>
    </dataValidation>
    <dataValidation type="list" allowBlank="1" showInputMessage="1" showErrorMessage="1" sqref="B152:G155">
      <formula1>"1,2,3"</formula1>
    </dataValidation>
  </dataValidations>
  <pageMargins left="0.7" right="0.7" top="0.78740157499999996" bottom="0.78740157499999996" header="0.3" footer="0.3"/>
  <pageSetup paperSize="9" scale="56" fitToHeight="0" orientation="landscape" r:id="rId1"/>
  <extLst>
    <ext xmlns:x14="http://schemas.microsoft.com/office/spreadsheetml/2009/9/main" uri="{CCE6A557-97BC-4b89-ADB6-D9C93CAAB3DF}">
      <x14:dataValidations xmlns:xm="http://schemas.microsoft.com/office/excel/2006/main" count="8">
        <x14:dataValidation type="list" allowBlank="1" showInputMessage="1">
          <x14:formula1>
            <xm:f>'Ressourcen DB'!$G$2:$G$3</xm:f>
          </x14:formula1>
          <xm:sqref>C106:C146</xm:sqref>
        </x14:dataValidation>
        <x14:dataValidation type="list" allowBlank="1" showInputMessage="1" showErrorMessage="1">
          <x14:formula1>
            <xm:f>'ISM Klassifizierung'!$K$4:$K$11</xm:f>
          </x14:formula1>
          <xm:sqref>M152:M155</xm:sqref>
        </x14:dataValidation>
        <x14:dataValidation type="list" allowBlank="1" showErrorMessage="1">
          <x14:formula1>
            <xm:f>'Ressourcen DB'!$G$2:$G$3</xm:f>
          </x14:formula1>
          <xm:sqref>C78:C103 F56:F75 I12:I51 H78:H103</xm:sqref>
        </x14:dataValidation>
        <x14:dataValidation type="list" allowBlank="1" showErrorMessage="1">
          <x14:formula1>
            <xm:f>'ISM Klassifizierung'!$I$4:$I$11</xm:f>
          </x14:formula1>
          <xm:sqref>H12:H51</xm:sqref>
        </x14:dataValidation>
        <x14:dataValidation type="list" allowBlank="1" showInputMessage="1" showErrorMessage="1">
          <x14:formula1>
            <xm:f>Allgemein!$I$43:$I$82</xm:f>
          </x14:formula1>
          <xm:sqref>C56:E75</xm:sqref>
        </x14:dataValidation>
        <x14:dataValidation type="list" allowBlank="1" showInputMessage="1" showErrorMessage="1">
          <x14:formula1>
            <xm:f>Allgemein!$L$43:$L$82</xm:f>
          </x14:formula1>
          <xm:sqref>G56:J75</xm:sqref>
        </x14:dataValidation>
        <x14:dataValidation type="list" allowBlank="1" showErrorMessage="1">
          <x14:formula1>
            <xm:f>'ISM Klassifizierung'!$B$10:$B$13</xm:f>
          </x14:formula1>
          <xm:sqref>C12:F51</xm:sqref>
        </x14:dataValidation>
        <x14:dataValidation type="list" allowBlank="1" showInputMessage="1">
          <x14:formula1>
            <xm:f>'Software Inventar'!$C$4:$C$128</xm:f>
          </x14:formula1>
          <xm:sqref>A106:B106 A108:B146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ISM">
    <tabColor theme="1" tint="0.249977111117893"/>
    <pageSetUpPr fitToPage="1"/>
  </sheetPr>
  <dimension ref="A1:L32"/>
  <sheetViews>
    <sheetView showGridLines="0" zoomScale="110" zoomScaleNormal="110" workbookViewId="0">
      <selection activeCell="C14" sqref="C14"/>
    </sheetView>
  </sheetViews>
  <sheetFormatPr baseColWidth="10" defaultColWidth="0" defaultRowHeight="15" zeroHeight="1" x14ac:dyDescent="0.25"/>
  <cols>
    <col min="1" max="1" width="4" style="1" customWidth="1"/>
    <col min="2" max="2" width="24.85546875" customWidth="1"/>
    <col min="3" max="3" width="98" customWidth="1"/>
    <col min="4" max="4" width="11.42578125" style="1" customWidth="1"/>
    <col min="5" max="5" width="25.85546875" hidden="1" customWidth="1"/>
    <col min="6" max="6" width="26.42578125" hidden="1" customWidth="1"/>
    <col min="7" max="7" width="43.42578125" hidden="1" customWidth="1"/>
    <col min="8" max="8" width="11.42578125" hidden="1" customWidth="1"/>
    <col min="9" max="9" width="20.140625" hidden="1" customWidth="1"/>
    <col min="10" max="11" width="15.7109375" hidden="1" customWidth="1"/>
    <col min="12" max="12" width="11.42578125" hidden="1" customWidth="1"/>
    <col min="13" max="16384" width="11.42578125" hidden="1"/>
  </cols>
  <sheetData>
    <row r="1" spans="1:12" ht="44.25" customHeight="1" x14ac:dyDescent="0.35">
      <c r="A1" s="43"/>
      <c r="B1" s="183" t="s">
        <v>97</v>
      </c>
      <c r="C1" s="183"/>
      <c r="D1" s="68"/>
      <c r="E1" s="68"/>
      <c r="F1" s="68"/>
      <c r="G1" s="68"/>
      <c r="H1" s="68"/>
      <c r="I1" s="68"/>
      <c r="J1" s="68"/>
      <c r="K1" s="44"/>
      <c r="L1" s="44"/>
    </row>
    <row r="2" spans="1:12" x14ac:dyDescent="0.25">
      <c r="A2" s="43"/>
      <c r="B2" s="45"/>
      <c r="C2" s="43"/>
      <c r="D2" s="43"/>
      <c r="E2" s="44"/>
      <c r="F2" s="44"/>
      <c r="G2" s="44"/>
      <c r="H2" s="44"/>
      <c r="I2" s="44"/>
      <c r="J2" s="44"/>
      <c r="K2" s="44"/>
      <c r="L2" s="44"/>
    </row>
    <row r="3" spans="1:12" ht="41.25" customHeight="1" x14ac:dyDescent="0.25">
      <c r="A3" s="43"/>
      <c r="B3" s="76" t="s">
        <v>64</v>
      </c>
      <c r="C3" s="76" t="s">
        <v>98</v>
      </c>
      <c r="D3" s="43"/>
      <c r="E3" s="76" t="s">
        <v>85</v>
      </c>
      <c r="F3" s="76" t="s">
        <v>99</v>
      </c>
      <c r="G3" s="76" t="s">
        <v>100</v>
      </c>
      <c r="H3" s="44"/>
      <c r="I3" s="76" t="s">
        <v>101</v>
      </c>
      <c r="J3" s="76" t="s">
        <v>102</v>
      </c>
      <c r="K3" s="76" t="s">
        <v>103</v>
      </c>
      <c r="L3" s="44"/>
    </row>
    <row r="4" spans="1:12" ht="58.5" customHeight="1" x14ac:dyDescent="0.25">
      <c r="A4" s="43"/>
      <c r="B4" s="46" t="s">
        <v>262</v>
      </c>
      <c r="C4" s="47" t="s">
        <v>104</v>
      </c>
      <c r="D4" s="43"/>
      <c r="E4" s="180" t="s">
        <v>92</v>
      </c>
      <c r="F4" s="46" t="s">
        <v>71</v>
      </c>
      <c r="G4" s="47" t="s">
        <v>105</v>
      </c>
      <c r="H4" s="65">
        <v>0</v>
      </c>
      <c r="I4" s="48" t="s">
        <v>106</v>
      </c>
      <c r="J4" s="49" t="s">
        <v>201</v>
      </c>
      <c r="K4" s="49" t="s">
        <v>201</v>
      </c>
      <c r="L4" s="66">
        <f>H4</f>
        <v>0</v>
      </c>
    </row>
    <row r="5" spans="1:12" ht="58.5" customHeight="1" x14ac:dyDescent="0.25">
      <c r="A5" s="43"/>
      <c r="B5" s="46" t="s">
        <v>263</v>
      </c>
      <c r="C5" s="47" t="s">
        <v>107</v>
      </c>
      <c r="D5" s="43"/>
      <c r="E5" s="181"/>
      <c r="F5" s="46" t="s">
        <v>72</v>
      </c>
      <c r="G5" s="47" t="s">
        <v>108</v>
      </c>
      <c r="H5" s="65">
        <v>1</v>
      </c>
      <c r="I5" s="48" t="s">
        <v>109</v>
      </c>
      <c r="J5" s="49" t="s">
        <v>181</v>
      </c>
      <c r="K5" s="49" t="s">
        <v>181</v>
      </c>
      <c r="L5" s="66">
        <f t="shared" ref="L5:L11" si="0">H5</f>
        <v>1</v>
      </c>
    </row>
    <row r="6" spans="1:12" ht="71.25" customHeight="1" x14ac:dyDescent="0.25">
      <c r="A6" s="43"/>
      <c r="B6" s="46" t="s">
        <v>264</v>
      </c>
      <c r="C6" s="47" t="s">
        <v>194</v>
      </c>
      <c r="D6" s="43"/>
      <c r="E6" s="181"/>
      <c r="F6" s="46" t="s">
        <v>73</v>
      </c>
      <c r="G6" s="47" t="s">
        <v>197</v>
      </c>
      <c r="H6" s="65">
        <v>2</v>
      </c>
      <c r="I6" s="48" t="s">
        <v>110</v>
      </c>
      <c r="J6" s="49" t="s">
        <v>182</v>
      </c>
      <c r="K6" s="49" t="s">
        <v>182</v>
      </c>
      <c r="L6" s="66">
        <f t="shared" si="0"/>
        <v>2</v>
      </c>
    </row>
    <row r="7" spans="1:12" ht="58.5" customHeight="1" x14ac:dyDescent="0.25">
      <c r="A7" s="43"/>
      <c r="B7" s="46"/>
      <c r="C7" s="47"/>
      <c r="D7" s="43"/>
      <c r="E7" s="181"/>
      <c r="F7" s="94"/>
      <c r="G7" s="95"/>
      <c r="H7" s="65">
        <v>3</v>
      </c>
      <c r="I7" s="48" t="s">
        <v>111</v>
      </c>
      <c r="J7" s="49" t="s">
        <v>202</v>
      </c>
      <c r="K7" s="49" t="s">
        <v>202</v>
      </c>
      <c r="L7" s="66">
        <f t="shared" si="0"/>
        <v>3</v>
      </c>
    </row>
    <row r="8" spans="1:12" ht="47.25" customHeight="1" x14ac:dyDescent="0.25">
      <c r="A8" s="43"/>
      <c r="B8" s="45" t="s">
        <v>75</v>
      </c>
      <c r="C8" s="44"/>
      <c r="D8" s="43"/>
      <c r="E8" s="180" t="s">
        <v>93</v>
      </c>
      <c r="F8" s="46" t="s">
        <v>71</v>
      </c>
      <c r="G8" s="47" t="s">
        <v>112</v>
      </c>
      <c r="H8" s="65">
        <v>4</v>
      </c>
      <c r="I8" s="48" t="s">
        <v>74</v>
      </c>
      <c r="J8" s="49"/>
      <c r="K8" s="49"/>
      <c r="L8" s="66">
        <f t="shared" si="0"/>
        <v>4</v>
      </c>
    </row>
    <row r="9" spans="1:12" ht="42.75" customHeight="1" x14ac:dyDescent="0.25">
      <c r="A9" s="43"/>
      <c r="B9" s="76" t="s">
        <v>65</v>
      </c>
      <c r="C9" s="76" t="s">
        <v>98</v>
      </c>
      <c r="D9" s="43"/>
      <c r="E9" s="181"/>
      <c r="F9" s="46" t="s">
        <v>72</v>
      </c>
      <c r="G9" s="47" t="s">
        <v>113</v>
      </c>
      <c r="H9" s="65">
        <v>5</v>
      </c>
      <c r="I9" s="48" t="s">
        <v>114</v>
      </c>
      <c r="J9" s="49"/>
      <c r="K9" s="49"/>
      <c r="L9" s="66">
        <f t="shared" si="0"/>
        <v>5</v>
      </c>
    </row>
    <row r="10" spans="1:12" ht="47.25" customHeight="1" x14ac:dyDescent="0.25">
      <c r="A10" s="43"/>
      <c r="B10" s="46" t="s">
        <v>262</v>
      </c>
      <c r="C10" s="50" t="s">
        <v>115</v>
      </c>
      <c r="D10" s="43"/>
      <c r="E10" s="181"/>
      <c r="F10" s="46" t="s">
        <v>73</v>
      </c>
      <c r="G10" s="47" t="s">
        <v>198</v>
      </c>
      <c r="H10" s="65">
        <v>6</v>
      </c>
      <c r="I10" s="51" t="s">
        <v>116</v>
      </c>
      <c r="J10" s="49"/>
      <c r="K10" s="49"/>
      <c r="L10" s="66">
        <f t="shared" si="0"/>
        <v>6</v>
      </c>
    </row>
    <row r="11" spans="1:12" ht="58.5" customHeight="1" x14ac:dyDescent="0.25">
      <c r="A11" s="43"/>
      <c r="B11" s="46" t="s">
        <v>263</v>
      </c>
      <c r="C11" s="50" t="s">
        <v>117</v>
      </c>
      <c r="D11" s="43"/>
      <c r="E11" s="181"/>
      <c r="F11" s="94"/>
      <c r="G11" s="95"/>
      <c r="H11" s="65">
        <v>7</v>
      </c>
      <c r="I11" s="51"/>
      <c r="J11" s="52"/>
      <c r="K11" s="52"/>
      <c r="L11" s="66">
        <f t="shared" si="0"/>
        <v>7</v>
      </c>
    </row>
    <row r="12" spans="1:12" ht="54.75" customHeight="1" x14ac:dyDescent="0.25">
      <c r="A12" s="43"/>
      <c r="B12" s="46" t="s">
        <v>264</v>
      </c>
      <c r="C12" s="50" t="s">
        <v>195</v>
      </c>
      <c r="D12" s="43"/>
      <c r="E12" s="180" t="s">
        <v>94</v>
      </c>
      <c r="F12" s="46" t="s">
        <v>71</v>
      </c>
      <c r="G12" s="47" t="s">
        <v>199</v>
      </c>
      <c r="H12" s="44"/>
      <c r="I12" s="44"/>
      <c r="J12" s="44"/>
      <c r="K12" s="44"/>
      <c r="L12" s="44"/>
    </row>
    <row r="13" spans="1:12" ht="46.5" customHeight="1" x14ac:dyDescent="0.25">
      <c r="A13" s="43"/>
      <c r="B13" s="46"/>
      <c r="C13" s="50"/>
      <c r="D13" s="43"/>
      <c r="E13" s="181"/>
      <c r="F13" s="46" t="s">
        <v>72</v>
      </c>
      <c r="G13" s="47" t="s">
        <v>118</v>
      </c>
      <c r="H13" s="44"/>
      <c r="I13" s="53" t="s">
        <v>119</v>
      </c>
      <c r="J13" s="54">
        <f>COUNTA(F4:F7)</f>
        <v>3</v>
      </c>
      <c r="K13" s="44"/>
      <c r="L13" s="44"/>
    </row>
    <row r="14" spans="1:12" ht="46.5" customHeight="1" x14ac:dyDescent="0.25">
      <c r="A14" s="43"/>
      <c r="B14" s="45" t="s">
        <v>75</v>
      </c>
      <c r="C14" s="44"/>
      <c r="D14" s="43"/>
      <c r="E14" s="181"/>
      <c r="F14" s="46" t="s">
        <v>73</v>
      </c>
      <c r="G14" s="47" t="s">
        <v>200</v>
      </c>
      <c r="H14" s="44"/>
      <c r="I14" s="53" t="s">
        <v>120</v>
      </c>
      <c r="J14" s="54">
        <f>COUNTA(J4:J11)</f>
        <v>4</v>
      </c>
      <c r="K14" s="44"/>
      <c r="L14" s="44"/>
    </row>
    <row r="15" spans="1:12" ht="56.25" customHeight="1" x14ac:dyDescent="0.25">
      <c r="A15" s="43"/>
      <c r="B15" s="76" t="s">
        <v>121</v>
      </c>
      <c r="C15" s="76" t="s">
        <v>98</v>
      </c>
      <c r="D15" s="43"/>
      <c r="E15" s="181"/>
      <c r="F15" s="94"/>
      <c r="G15" s="95"/>
      <c r="H15" s="44"/>
      <c r="I15" s="44"/>
      <c r="J15" s="44"/>
      <c r="K15" s="44"/>
      <c r="L15" s="44"/>
    </row>
    <row r="16" spans="1:12" ht="33" customHeight="1" x14ac:dyDescent="0.25">
      <c r="A16" s="43"/>
      <c r="B16" s="46" t="s">
        <v>262</v>
      </c>
      <c r="C16" s="50" t="s">
        <v>122</v>
      </c>
      <c r="D16" s="43"/>
      <c r="E16" s="180" t="s">
        <v>95</v>
      </c>
      <c r="F16" s="46" t="s">
        <v>71</v>
      </c>
      <c r="G16" s="47" t="s">
        <v>193</v>
      </c>
      <c r="H16" s="44"/>
      <c r="I16" s="44"/>
      <c r="J16" s="44"/>
      <c r="K16" s="44"/>
      <c r="L16" s="44"/>
    </row>
    <row r="17" spans="1:12" ht="33" customHeight="1" x14ac:dyDescent="0.25">
      <c r="A17" s="43"/>
      <c r="B17" s="46" t="s">
        <v>263</v>
      </c>
      <c r="C17" s="47" t="s">
        <v>123</v>
      </c>
      <c r="D17" s="43"/>
      <c r="E17" s="181"/>
      <c r="F17" s="46" t="s">
        <v>72</v>
      </c>
      <c r="G17" s="47" t="s">
        <v>225</v>
      </c>
      <c r="H17" s="44"/>
      <c r="I17" s="44"/>
      <c r="J17" s="44"/>
      <c r="K17" s="44"/>
      <c r="L17" s="44"/>
    </row>
    <row r="18" spans="1:12" ht="40.35" customHeight="1" x14ac:dyDescent="0.25">
      <c r="A18" s="43"/>
      <c r="B18" s="46" t="s">
        <v>264</v>
      </c>
      <c r="C18" s="50" t="s">
        <v>196</v>
      </c>
      <c r="D18" s="43"/>
      <c r="E18" s="181"/>
      <c r="F18" s="46" t="s">
        <v>73</v>
      </c>
      <c r="G18" s="47" t="s">
        <v>226</v>
      </c>
      <c r="H18" s="44"/>
      <c r="I18" s="44"/>
      <c r="J18" s="44"/>
      <c r="K18" s="44"/>
      <c r="L18" s="44"/>
    </row>
    <row r="19" spans="1:12" ht="33" customHeight="1" x14ac:dyDescent="0.25">
      <c r="A19" s="43"/>
      <c r="B19" s="46"/>
      <c r="C19" s="50"/>
      <c r="D19" s="43"/>
      <c r="E19" s="182"/>
      <c r="F19" s="94"/>
      <c r="G19" s="95"/>
      <c r="H19" s="44"/>
      <c r="I19" s="44"/>
      <c r="J19" s="44"/>
      <c r="K19" s="44"/>
      <c r="L19" s="44"/>
    </row>
    <row r="20" spans="1:12" s="1" customFormat="1" ht="30" hidden="1" customHeight="1" x14ac:dyDescent="0.25">
      <c r="B20" s="55"/>
      <c r="C20" s="55"/>
      <c r="I20"/>
      <c r="J20"/>
    </row>
    <row r="21" spans="1:12" s="1" customFormat="1" ht="40.5" hidden="1" customHeight="1" x14ac:dyDescent="0.25">
      <c r="B21" s="76"/>
      <c r="C21" s="76"/>
    </row>
    <row r="22" spans="1:12" s="1" customFormat="1" ht="43.5" hidden="1" customHeight="1" x14ac:dyDescent="0.25">
      <c r="B22" s="46"/>
      <c r="C22" s="47"/>
    </row>
    <row r="23" spans="1:12" s="1" customFormat="1" ht="45.75" hidden="1" customHeight="1" x14ac:dyDescent="0.25">
      <c r="B23" s="46"/>
      <c r="C23" s="47"/>
    </row>
    <row r="24" spans="1:12" s="1" customFormat="1" ht="47.25" hidden="1" customHeight="1" x14ac:dyDescent="0.25">
      <c r="B24" s="46"/>
      <c r="C24" s="47"/>
    </row>
    <row r="25" spans="1:12" s="1" customFormat="1" ht="54" hidden="1" customHeight="1" x14ac:dyDescent="0.25">
      <c r="B25" s="46"/>
      <c r="C25" s="47"/>
    </row>
    <row r="26" spans="1:12" ht="27.75" customHeight="1" x14ac:dyDescent="0.25"/>
    <row r="27" spans="1:12" ht="39" hidden="1" customHeight="1" x14ac:dyDescent="0.25">
      <c r="B27" s="76"/>
      <c r="C27" s="76" t="s">
        <v>95</v>
      </c>
      <c r="D27" s="179" t="s">
        <v>94</v>
      </c>
      <c r="E27" s="179"/>
      <c r="F27" s="179"/>
      <c r="G27" s="176" t="s">
        <v>124</v>
      </c>
      <c r="H27" s="178"/>
      <c r="I27" s="176" t="s">
        <v>93</v>
      </c>
      <c r="J27" s="177"/>
      <c r="K27" s="177"/>
    </row>
    <row r="28" spans="1:12" ht="93" hidden="1" customHeight="1" x14ac:dyDescent="0.25">
      <c r="B28" s="46" t="s">
        <v>64</v>
      </c>
      <c r="C28" s="81" t="s">
        <v>125</v>
      </c>
      <c r="D28" s="175" t="s">
        <v>126</v>
      </c>
      <c r="E28" s="175"/>
      <c r="F28" s="175"/>
      <c r="G28" s="175" t="s">
        <v>127</v>
      </c>
      <c r="H28" s="175"/>
      <c r="I28" s="175" t="s">
        <v>128</v>
      </c>
      <c r="J28" s="175"/>
      <c r="K28" s="175"/>
    </row>
    <row r="29" spans="1:12" ht="54.75" hidden="1" customHeight="1" x14ac:dyDescent="0.25">
      <c r="B29" s="46" t="s">
        <v>65</v>
      </c>
      <c r="C29" s="81" t="s">
        <v>129</v>
      </c>
      <c r="D29" s="175" t="s">
        <v>130</v>
      </c>
      <c r="E29" s="175"/>
      <c r="F29" s="175"/>
      <c r="G29" s="175" t="s">
        <v>131</v>
      </c>
      <c r="H29" s="175"/>
      <c r="I29" s="175" t="s">
        <v>132</v>
      </c>
      <c r="J29" s="175"/>
      <c r="K29" s="175"/>
    </row>
    <row r="30" spans="1:12" ht="76.5" hidden="1" customHeight="1" x14ac:dyDescent="0.25">
      <c r="B30" s="46" t="s">
        <v>121</v>
      </c>
      <c r="C30" s="81" t="s">
        <v>133</v>
      </c>
      <c r="D30" s="175" t="s">
        <v>134</v>
      </c>
      <c r="E30" s="175"/>
      <c r="F30" s="175"/>
      <c r="G30" s="175" t="s">
        <v>135</v>
      </c>
      <c r="H30" s="175"/>
      <c r="I30" s="175" t="s">
        <v>136</v>
      </c>
      <c r="J30" s="175"/>
      <c r="K30" s="175"/>
    </row>
    <row r="31" spans="1:12" ht="63" hidden="1" customHeight="1" x14ac:dyDescent="0.25">
      <c r="B31" s="46" t="s">
        <v>66</v>
      </c>
      <c r="C31" s="81" t="s">
        <v>137</v>
      </c>
      <c r="D31" s="175" t="s">
        <v>138</v>
      </c>
      <c r="E31" s="175"/>
      <c r="F31" s="175"/>
      <c r="G31" s="175" t="s">
        <v>139</v>
      </c>
      <c r="H31" s="175"/>
      <c r="I31" s="175" t="s">
        <v>140</v>
      </c>
      <c r="J31" s="175"/>
      <c r="K31" s="175"/>
    </row>
    <row r="32" spans="1:12" x14ac:dyDescent="0.25"/>
  </sheetData>
  <mergeCells count="20">
    <mergeCell ref="E4:E7"/>
    <mergeCell ref="E8:E11"/>
    <mergeCell ref="E12:E15"/>
    <mergeCell ref="E16:E19"/>
    <mergeCell ref="B1:C1"/>
    <mergeCell ref="D27:F27"/>
    <mergeCell ref="D28:F28"/>
    <mergeCell ref="D29:F29"/>
    <mergeCell ref="D30:F30"/>
    <mergeCell ref="D31:F31"/>
    <mergeCell ref="I27:K27"/>
    <mergeCell ref="G27:H27"/>
    <mergeCell ref="G28:H28"/>
    <mergeCell ref="G29:H29"/>
    <mergeCell ref="G30:H30"/>
    <mergeCell ref="G31:H31"/>
    <mergeCell ref="I28:K28"/>
    <mergeCell ref="I29:K29"/>
    <mergeCell ref="I30:K30"/>
    <mergeCell ref="I31:K31"/>
  </mergeCells>
  <pageMargins left="0.7" right="0.7" top="0.78740157499999996" bottom="0.78740157499999996" header="0.3" footer="0.3"/>
  <pageSetup paperSize="9" scale="63"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theme="1" tint="0.249977111117893"/>
    <pageSetUpPr fitToPage="1"/>
  </sheetPr>
  <dimension ref="A1:AN170"/>
  <sheetViews>
    <sheetView showGridLines="0" zoomScale="140" zoomScaleNormal="140" workbookViewId="0">
      <selection activeCell="C17" sqref="C17"/>
    </sheetView>
  </sheetViews>
  <sheetFormatPr baseColWidth="10" defaultColWidth="0" defaultRowHeight="12.75" zeroHeight="1" x14ac:dyDescent="0.2"/>
  <cols>
    <col min="1" max="1" width="3.7109375" style="2" customWidth="1"/>
    <col min="2" max="2" width="43.7109375" style="19" bestFit="1" customWidth="1"/>
    <col min="3" max="3" width="108.42578125" style="19" bestFit="1" customWidth="1"/>
    <col min="4" max="4" width="38.140625" style="23" customWidth="1"/>
    <col min="5" max="5" width="14.140625" style="20" customWidth="1"/>
    <col min="6" max="6" width="21.85546875" style="2" hidden="1" customWidth="1"/>
    <col min="7" max="7" width="31.28515625" style="2" hidden="1" customWidth="1"/>
    <col min="8" max="8" width="37.140625" style="2" hidden="1" customWidth="1"/>
    <col min="9" max="9" width="79" style="2" hidden="1" customWidth="1"/>
    <col min="10" max="10" width="31.7109375" style="2" hidden="1" customWidth="1"/>
    <col min="11" max="11" width="19.42578125" style="2" hidden="1" customWidth="1"/>
    <col min="12" max="12" width="25.42578125" style="2" hidden="1" customWidth="1"/>
    <col min="13" max="13" width="20.7109375" style="2" hidden="1" customWidth="1"/>
    <col min="14" max="14" width="27.42578125" style="2" hidden="1" customWidth="1"/>
    <col min="15" max="15" width="24" style="2" hidden="1" customWidth="1"/>
    <col min="16" max="16" width="26.7109375" style="2" hidden="1" customWidth="1"/>
    <col min="17" max="17" width="21" style="2" hidden="1" customWidth="1"/>
    <col min="18" max="40" width="0" style="2" hidden="1" customWidth="1"/>
    <col min="41" max="16384" width="11.42578125" style="2" hidden="1"/>
  </cols>
  <sheetData>
    <row r="1" spans="2:17" customFormat="1" ht="44.25" customHeight="1" x14ac:dyDescent="0.35">
      <c r="B1" s="75" t="s">
        <v>141</v>
      </c>
      <c r="C1" s="102" t="s">
        <v>208</v>
      </c>
      <c r="E1" s="68"/>
      <c r="F1" s="68"/>
      <c r="G1" s="68"/>
      <c r="H1" s="68"/>
      <c r="I1" s="68"/>
      <c r="J1" s="68"/>
      <c r="K1" s="68"/>
      <c r="L1" s="44"/>
      <c r="M1" s="44"/>
    </row>
    <row r="2" spans="2:17" customFormat="1" ht="15" customHeight="1" x14ac:dyDescent="0.35">
      <c r="B2" s="68"/>
      <c r="C2" s="68"/>
      <c r="E2" s="68"/>
      <c r="F2" s="68"/>
      <c r="G2" s="68"/>
      <c r="H2" s="68"/>
      <c r="I2" s="68"/>
      <c r="J2" s="68"/>
      <c r="K2" s="68"/>
      <c r="L2" s="44"/>
      <c r="M2" s="44"/>
    </row>
    <row r="3" spans="2:17" ht="27.75" customHeight="1" x14ac:dyDescent="0.2">
      <c r="B3" s="69" t="s">
        <v>141</v>
      </c>
      <c r="C3" s="69" t="s">
        <v>98</v>
      </c>
      <c r="D3" s="70" t="s">
        <v>142</v>
      </c>
    </row>
    <row r="4" spans="2:17" ht="18" customHeight="1" x14ac:dyDescent="0.2">
      <c r="B4" s="86" t="s">
        <v>205</v>
      </c>
      <c r="C4" s="87"/>
      <c r="D4" s="88" t="s">
        <v>183</v>
      </c>
      <c r="F4" s="21"/>
      <c r="G4" s="21"/>
      <c r="H4" s="21"/>
      <c r="K4" s="21"/>
      <c r="L4" s="21"/>
      <c r="M4" s="21"/>
      <c r="N4" s="21"/>
      <c r="O4" s="21"/>
      <c r="P4" s="21"/>
      <c r="Q4" s="21"/>
    </row>
    <row r="5" spans="2:17" s="17" customFormat="1" ht="18" customHeight="1" x14ac:dyDescent="0.2">
      <c r="B5" s="86" t="s">
        <v>359</v>
      </c>
      <c r="C5" s="87" t="s">
        <v>345</v>
      </c>
      <c r="D5" s="88" t="s">
        <v>183</v>
      </c>
      <c r="E5" s="20"/>
      <c r="F5" s="21"/>
      <c r="O5" s="2"/>
      <c r="P5" s="2"/>
      <c r="Q5" s="2"/>
    </row>
    <row r="6" spans="2:17" ht="18" customHeight="1" x14ac:dyDescent="0.2">
      <c r="B6" s="86" t="s">
        <v>360</v>
      </c>
      <c r="C6" s="87" t="s">
        <v>345</v>
      </c>
      <c r="D6" s="88" t="s">
        <v>183</v>
      </c>
      <c r="F6" s="21"/>
    </row>
    <row r="7" spans="2:17" ht="18" customHeight="1" x14ac:dyDescent="0.2">
      <c r="B7" s="86" t="s">
        <v>361</v>
      </c>
      <c r="C7" s="87" t="s">
        <v>346</v>
      </c>
      <c r="D7" s="88" t="s">
        <v>206</v>
      </c>
      <c r="F7" s="21"/>
    </row>
    <row r="8" spans="2:17" ht="18" customHeight="1" x14ac:dyDescent="0.2">
      <c r="B8" s="86" t="s">
        <v>354</v>
      </c>
      <c r="C8" s="87"/>
      <c r="D8" s="88" t="s">
        <v>183</v>
      </c>
      <c r="F8" s="21"/>
      <c r="L8" s="21"/>
      <c r="P8" s="21"/>
      <c r="Q8" s="21"/>
    </row>
    <row r="9" spans="2:17" ht="18" customHeight="1" x14ac:dyDescent="0.2">
      <c r="B9" s="86" t="s">
        <v>355</v>
      </c>
      <c r="C9" s="87"/>
      <c r="D9" s="88" t="s">
        <v>183</v>
      </c>
      <c r="F9" s="21"/>
      <c r="L9" s="21"/>
      <c r="N9" s="21"/>
      <c r="O9" s="21"/>
      <c r="P9" s="21"/>
      <c r="Q9" s="21"/>
    </row>
    <row r="10" spans="2:17" ht="18" customHeight="1" x14ac:dyDescent="0.2">
      <c r="B10" s="86" t="s">
        <v>362</v>
      </c>
      <c r="C10" s="87" t="s">
        <v>345</v>
      </c>
      <c r="D10" s="88" t="s">
        <v>183</v>
      </c>
      <c r="F10" s="21"/>
      <c r="L10" s="21"/>
      <c r="N10" s="21"/>
      <c r="O10" s="21"/>
      <c r="P10" s="21"/>
      <c r="Q10" s="21"/>
    </row>
    <row r="11" spans="2:17" ht="18" customHeight="1" x14ac:dyDescent="0.2">
      <c r="B11" s="86" t="s">
        <v>231</v>
      </c>
      <c r="C11" s="87" t="s">
        <v>230</v>
      </c>
      <c r="D11" s="88" t="s">
        <v>183</v>
      </c>
      <c r="F11" s="21"/>
      <c r="L11" s="21"/>
      <c r="N11" s="21"/>
      <c r="O11" s="21"/>
      <c r="P11" s="21"/>
      <c r="Q11" s="21"/>
    </row>
    <row r="12" spans="2:17" ht="18" customHeight="1" x14ac:dyDescent="0.2">
      <c r="B12" s="86" t="s">
        <v>229</v>
      </c>
      <c r="C12" s="87" t="s">
        <v>344</v>
      </c>
      <c r="D12" s="88" t="s">
        <v>206</v>
      </c>
      <c r="F12" s="21"/>
      <c r="L12" s="21"/>
      <c r="N12" s="21"/>
      <c r="O12" s="21"/>
      <c r="P12" s="21"/>
      <c r="Q12" s="21"/>
    </row>
    <row r="13" spans="2:17" ht="18" customHeight="1" x14ac:dyDescent="0.2">
      <c r="B13" s="86" t="s">
        <v>335</v>
      </c>
      <c r="C13" s="87"/>
      <c r="D13" s="88" t="s">
        <v>381</v>
      </c>
      <c r="F13" s="21"/>
      <c r="K13" s="21"/>
      <c r="L13" s="21"/>
      <c r="N13" s="21"/>
      <c r="O13" s="21"/>
      <c r="P13" s="21"/>
      <c r="Q13" s="21"/>
    </row>
    <row r="14" spans="2:17" ht="18" customHeight="1" x14ac:dyDescent="0.2">
      <c r="B14" s="86" t="s">
        <v>365</v>
      </c>
      <c r="C14" s="87" t="s">
        <v>366</v>
      </c>
      <c r="D14" s="88" t="s">
        <v>183</v>
      </c>
      <c r="F14" s="21"/>
      <c r="K14" s="21"/>
      <c r="L14" s="21"/>
      <c r="M14" s="21"/>
      <c r="N14" s="21"/>
      <c r="O14" s="21"/>
      <c r="P14" s="21"/>
      <c r="Q14" s="21"/>
    </row>
    <row r="15" spans="2:17" ht="18" customHeight="1" x14ac:dyDescent="0.2">
      <c r="B15" s="86" t="s">
        <v>379</v>
      </c>
      <c r="C15" s="87" t="s">
        <v>380</v>
      </c>
      <c r="D15" s="88" t="s">
        <v>183</v>
      </c>
      <c r="F15" s="21"/>
      <c r="K15" s="21"/>
      <c r="L15" s="21"/>
      <c r="M15" s="21"/>
      <c r="N15" s="21"/>
      <c r="O15" s="21"/>
      <c r="P15" s="21"/>
      <c r="Q15" s="21"/>
    </row>
    <row r="16" spans="2:17" ht="18" customHeight="1" x14ac:dyDescent="0.2">
      <c r="B16" s="86"/>
      <c r="C16" s="87"/>
      <c r="D16" s="88"/>
      <c r="F16" s="21"/>
      <c r="K16" s="21"/>
      <c r="L16" s="21"/>
      <c r="M16" s="21"/>
      <c r="N16" s="21"/>
      <c r="O16" s="21"/>
      <c r="P16" s="21"/>
      <c r="Q16" s="21"/>
    </row>
    <row r="17" spans="2:17" ht="18" customHeight="1" x14ac:dyDescent="0.2">
      <c r="B17" s="86"/>
      <c r="C17" s="87"/>
      <c r="D17" s="88"/>
      <c r="F17" s="21"/>
      <c r="K17" s="21"/>
      <c r="L17" s="21"/>
      <c r="M17" s="21"/>
      <c r="N17" s="21"/>
      <c r="O17" s="21"/>
      <c r="P17" s="21"/>
      <c r="Q17" s="21"/>
    </row>
    <row r="18" spans="2:17" ht="18" customHeight="1" x14ac:dyDescent="0.2">
      <c r="B18" s="86"/>
      <c r="C18" s="87"/>
      <c r="D18" s="88"/>
      <c r="F18" s="21"/>
      <c r="K18" s="21"/>
      <c r="L18" s="21"/>
      <c r="M18" s="21"/>
      <c r="N18" s="21"/>
      <c r="O18" s="21"/>
      <c r="P18" s="21"/>
      <c r="Q18" s="21"/>
    </row>
    <row r="19" spans="2:17" ht="18" customHeight="1" x14ac:dyDescent="0.2">
      <c r="B19" s="86"/>
      <c r="C19" s="87"/>
      <c r="D19" s="88"/>
      <c r="F19" s="21"/>
      <c r="K19" s="21"/>
      <c r="L19" s="21"/>
      <c r="M19" s="21"/>
      <c r="N19" s="21"/>
      <c r="O19" s="21"/>
      <c r="P19" s="21"/>
      <c r="Q19" s="21"/>
    </row>
    <row r="20" spans="2:17" ht="18" customHeight="1" x14ac:dyDescent="0.2">
      <c r="B20" s="86"/>
      <c r="C20" s="87"/>
      <c r="D20" s="88"/>
      <c r="F20" s="21"/>
      <c r="K20" s="21"/>
      <c r="L20" s="21"/>
      <c r="M20" s="21"/>
      <c r="N20" s="21"/>
      <c r="O20" s="21"/>
      <c r="P20" s="21"/>
      <c r="Q20" s="21"/>
    </row>
    <row r="21" spans="2:17" ht="18" customHeight="1" x14ac:dyDescent="0.2">
      <c r="B21" s="86"/>
      <c r="C21" s="87"/>
      <c r="D21" s="88"/>
      <c r="F21" s="21"/>
    </row>
    <row r="22" spans="2:17" ht="18" customHeight="1" x14ac:dyDescent="0.2">
      <c r="B22" s="86"/>
      <c r="C22" s="87"/>
      <c r="D22" s="88"/>
      <c r="F22" s="21"/>
      <c r="G22" s="21"/>
    </row>
    <row r="23" spans="2:17" ht="18" customHeight="1" x14ac:dyDescent="0.2">
      <c r="B23" s="86"/>
      <c r="C23" s="87"/>
      <c r="D23" s="88"/>
      <c r="F23" s="21"/>
    </row>
    <row r="24" spans="2:17" ht="18" customHeight="1" x14ac:dyDescent="0.2">
      <c r="B24" s="86"/>
      <c r="C24" s="87"/>
      <c r="D24" s="88"/>
      <c r="F24" s="21"/>
    </row>
    <row r="25" spans="2:17" ht="18" customHeight="1" x14ac:dyDescent="0.2">
      <c r="B25" s="86"/>
      <c r="C25" s="87"/>
      <c r="D25" s="88"/>
      <c r="F25" s="21"/>
      <c r="G25" s="21"/>
      <c r="H25" s="21"/>
    </row>
    <row r="26" spans="2:17" ht="18" customHeight="1" x14ac:dyDescent="0.2">
      <c r="B26" s="86"/>
      <c r="C26" s="87"/>
      <c r="D26" s="88"/>
      <c r="F26" s="21"/>
    </row>
    <row r="27" spans="2:17" ht="18" customHeight="1" x14ac:dyDescent="0.2">
      <c r="B27" s="86"/>
      <c r="C27" s="87"/>
      <c r="D27" s="88"/>
      <c r="F27" s="21"/>
      <c r="G27" s="18"/>
      <c r="H27" s="21"/>
    </row>
    <row r="28" spans="2:17" ht="18" customHeight="1" x14ac:dyDescent="0.2">
      <c r="B28" s="86"/>
      <c r="C28" s="87"/>
      <c r="D28" s="88"/>
      <c r="F28" s="21"/>
      <c r="G28" s="21"/>
      <c r="H28" s="21"/>
    </row>
    <row r="29" spans="2:17" ht="18" customHeight="1" x14ac:dyDescent="0.2">
      <c r="B29" s="86"/>
      <c r="C29" s="87"/>
      <c r="D29" s="88"/>
      <c r="F29" s="21"/>
      <c r="G29" s="21"/>
      <c r="H29" s="21"/>
    </row>
    <row r="30" spans="2:17" ht="18" customHeight="1" x14ac:dyDescent="0.2">
      <c r="B30" s="86"/>
      <c r="C30" s="87"/>
      <c r="D30" s="88"/>
      <c r="F30" s="21"/>
      <c r="G30" s="21"/>
      <c r="H30" s="21"/>
    </row>
    <row r="31" spans="2:17" ht="18" customHeight="1" x14ac:dyDescent="0.2">
      <c r="B31" s="86"/>
      <c r="C31" s="87"/>
      <c r="D31" s="88"/>
      <c r="F31" s="21"/>
      <c r="G31" s="21"/>
      <c r="H31" s="21"/>
    </row>
    <row r="32" spans="2:17" ht="18" customHeight="1" x14ac:dyDescent="0.2">
      <c r="B32" s="86"/>
      <c r="C32" s="87"/>
      <c r="D32" s="88"/>
      <c r="F32" s="21"/>
      <c r="G32" s="21"/>
      <c r="H32" s="21"/>
    </row>
    <row r="33" spans="2:8" ht="18" customHeight="1" x14ac:dyDescent="0.2">
      <c r="B33" s="86"/>
      <c r="C33" s="87"/>
      <c r="D33" s="88"/>
      <c r="F33" s="21"/>
      <c r="G33" s="21"/>
      <c r="H33" s="21"/>
    </row>
    <row r="34" spans="2:8" ht="18" customHeight="1" x14ac:dyDescent="0.2">
      <c r="B34" s="86"/>
      <c r="C34" s="87"/>
      <c r="D34" s="88"/>
      <c r="F34" s="21"/>
      <c r="G34" s="21"/>
      <c r="H34" s="21"/>
    </row>
    <row r="35" spans="2:8" ht="18" customHeight="1" x14ac:dyDescent="0.2">
      <c r="B35" s="86"/>
      <c r="C35" s="87"/>
      <c r="D35" s="88"/>
      <c r="F35" s="21"/>
      <c r="G35" s="21"/>
      <c r="H35" s="21"/>
    </row>
    <row r="36" spans="2:8" ht="18" customHeight="1" x14ac:dyDescent="0.2">
      <c r="B36" s="86"/>
      <c r="C36" s="87"/>
      <c r="D36" s="88"/>
      <c r="F36" s="21"/>
      <c r="G36" s="21"/>
      <c r="H36" s="21"/>
    </row>
    <row r="37" spans="2:8" ht="18" customHeight="1" x14ac:dyDescent="0.2">
      <c r="B37" s="86"/>
      <c r="C37" s="87"/>
      <c r="D37" s="88"/>
      <c r="F37" s="21"/>
      <c r="G37" s="21"/>
      <c r="H37" s="21"/>
    </row>
    <row r="38" spans="2:8" ht="18" customHeight="1" x14ac:dyDescent="0.2">
      <c r="B38" s="86"/>
      <c r="C38" s="87"/>
      <c r="D38" s="88"/>
      <c r="F38" s="21"/>
    </row>
    <row r="39" spans="2:8" ht="18" customHeight="1" x14ac:dyDescent="0.2">
      <c r="B39" s="86"/>
      <c r="C39" s="87"/>
      <c r="D39" s="88"/>
      <c r="F39" s="21"/>
    </row>
    <row r="40" spans="2:8" ht="18" customHeight="1" x14ac:dyDescent="0.2">
      <c r="B40" s="86"/>
      <c r="C40" s="87"/>
      <c r="D40" s="87"/>
      <c r="F40" s="21"/>
    </row>
    <row r="41" spans="2:8" ht="18" customHeight="1" x14ac:dyDescent="0.2">
      <c r="B41" s="86"/>
      <c r="C41" s="87"/>
      <c r="D41" s="88"/>
      <c r="F41" s="21"/>
    </row>
    <row r="42" spans="2:8" ht="18" customHeight="1" x14ac:dyDescent="0.2">
      <c r="B42" s="86"/>
      <c r="C42" s="87"/>
      <c r="D42" s="88"/>
      <c r="F42" s="21"/>
    </row>
    <row r="43" spans="2:8" ht="18" customHeight="1" x14ac:dyDescent="0.2">
      <c r="B43" s="86"/>
      <c r="C43" s="87"/>
      <c r="D43" s="88"/>
      <c r="F43" s="21"/>
    </row>
    <row r="44" spans="2:8" ht="18" customHeight="1" x14ac:dyDescent="0.2">
      <c r="B44" s="86"/>
      <c r="C44" s="87"/>
      <c r="D44" s="88"/>
      <c r="F44" s="21"/>
    </row>
    <row r="45" spans="2:8" ht="18" customHeight="1" x14ac:dyDescent="0.2">
      <c r="B45" s="86"/>
      <c r="C45" s="87"/>
      <c r="D45" s="88"/>
      <c r="F45" s="21"/>
    </row>
    <row r="46" spans="2:8" ht="18" customHeight="1" x14ac:dyDescent="0.2">
      <c r="B46" s="86"/>
      <c r="C46" s="87"/>
      <c r="D46" s="88"/>
      <c r="F46" s="21"/>
    </row>
    <row r="47" spans="2:8" ht="18" customHeight="1" x14ac:dyDescent="0.2">
      <c r="B47" s="86"/>
      <c r="C47" s="87"/>
      <c r="D47" s="88"/>
      <c r="F47" s="21"/>
    </row>
    <row r="48" spans="2:8" ht="18" customHeight="1" x14ac:dyDescent="0.2">
      <c r="B48" s="86"/>
      <c r="C48" s="87"/>
      <c r="D48" s="88"/>
      <c r="F48" s="21"/>
    </row>
    <row r="49" spans="2:16" ht="18" customHeight="1" x14ac:dyDescent="0.2">
      <c r="B49" s="86"/>
      <c r="C49" s="87"/>
      <c r="D49" s="88"/>
      <c r="F49" s="21"/>
    </row>
    <row r="50" spans="2:16" ht="18" customHeight="1" x14ac:dyDescent="0.2">
      <c r="B50" s="86"/>
      <c r="C50" s="87"/>
      <c r="D50" s="88"/>
      <c r="F50" s="21"/>
      <c r="G50" s="21"/>
      <c r="H50" s="21"/>
      <c r="I50" s="21"/>
      <c r="J50" s="21"/>
      <c r="K50" s="21"/>
      <c r="L50" s="21"/>
      <c r="M50" s="21"/>
    </row>
    <row r="51" spans="2:16" x14ac:dyDescent="0.2">
      <c r="B51" s="86"/>
      <c r="C51" s="87"/>
      <c r="D51" s="88"/>
      <c r="F51" s="21"/>
      <c r="G51" s="21"/>
      <c r="H51" s="21"/>
      <c r="I51" s="21"/>
      <c r="K51" s="21"/>
      <c r="L51" s="21"/>
      <c r="M51" s="21"/>
    </row>
    <row r="52" spans="2:16" hidden="1" x14ac:dyDescent="0.2">
      <c r="B52" s="86" t="s">
        <v>184</v>
      </c>
      <c r="C52" s="87" t="s">
        <v>185</v>
      </c>
      <c r="D52" s="87"/>
      <c r="F52" s="21"/>
      <c r="G52" s="21"/>
      <c r="H52" s="21"/>
      <c r="I52" s="21"/>
      <c r="K52" s="21"/>
      <c r="L52" s="21"/>
      <c r="M52" s="21"/>
    </row>
    <row r="53" spans="2:16" ht="15" hidden="1" x14ac:dyDescent="0.25">
      <c r="B53"/>
      <c r="C53"/>
      <c r="D53"/>
      <c r="E53"/>
      <c r="F53"/>
      <c r="G53"/>
      <c r="H53"/>
      <c r="I53"/>
      <c r="J53" s="33" t="s">
        <v>143</v>
      </c>
      <c r="K53"/>
      <c r="L53"/>
      <c r="M53"/>
      <c r="N53" s="33"/>
      <c r="O53" s="33"/>
      <c r="P53" s="33"/>
    </row>
    <row r="54" spans="2:16" ht="15" hidden="1" x14ac:dyDescent="0.25">
      <c r="B54"/>
      <c r="C54"/>
      <c r="D54"/>
      <c r="E54"/>
      <c r="F54"/>
      <c r="G54"/>
      <c r="H54"/>
      <c r="I54"/>
      <c r="J54" s="33" t="s">
        <v>144</v>
      </c>
      <c r="K54"/>
      <c r="L54"/>
      <c r="M54"/>
      <c r="N54" s="29"/>
      <c r="O54" s="29"/>
      <c r="P54" s="29"/>
    </row>
    <row r="55" spans="2:16" ht="15" hidden="1" x14ac:dyDescent="0.25">
      <c r="B55"/>
      <c r="C55"/>
      <c r="D55"/>
      <c r="E55"/>
      <c r="F55"/>
      <c r="G55"/>
      <c r="H55"/>
      <c r="I55"/>
      <c r="J55" s="33" t="s">
        <v>145</v>
      </c>
      <c r="K55"/>
      <c r="L55"/>
      <c r="M55"/>
      <c r="N55" s="29"/>
      <c r="O55" s="29"/>
      <c r="P55" s="29"/>
    </row>
    <row r="56" spans="2:16" ht="15" hidden="1" x14ac:dyDescent="0.25">
      <c r="B56"/>
      <c r="C56"/>
      <c r="D56"/>
      <c r="E56"/>
      <c r="F56"/>
      <c r="G56"/>
      <c r="H56"/>
      <c r="I56"/>
      <c r="J56" s="33" t="s">
        <v>146</v>
      </c>
      <c r="K56"/>
      <c r="L56"/>
      <c r="M56"/>
      <c r="N56" s="29"/>
      <c r="O56" s="29"/>
      <c r="P56" s="29"/>
    </row>
    <row r="57" spans="2:16" ht="15" hidden="1" x14ac:dyDescent="0.25">
      <c r="B57"/>
      <c r="C57"/>
      <c r="D57"/>
      <c r="E57"/>
      <c r="F57"/>
      <c r="G57"/>
      <c r="H57"/>
      <c r="I57"/>
      <c r="J57" s="33" t="s">
        <v>147</v>
      </c>
      <c r="K57"/>
      <c r="L57"/>
      <c r="M57"/>
      <c r="N57" s="29"/>
      <c r="O57" s="29"/>
      <c r="P57" s="29"/>
    </row>
    <row r="58" spans="2:16" hidden="1" x14ac:dyDescent="0.2">
      <c r="B58" s="29"/>
      <c r="C58" s="29"/>
      <c r="D58" s="29"/>
      <c r="E58" s="29"/>
      <c r="F58" s="29"/>
      <c r="G58" s="29"/>
      <c r="H58" s="29"/>
      <c r="I58" s="29"/>
      <c r="J58" s="29"/>
      <c r="K58" s="29"/>
      <c r="L58" s="29"/>
      <c r="M58" s="29"/>
      <c r="N58" s="29"/>
      <c r="O58" s="29"/>
      <c r="P58" s="29"/>
    </row>
    <row r="59" spans="2:16" hidden="1" x14ac:dyDescent="0.2">
      <c r="B59" s="29"/>
      <c r="C59" s="29"/>
      <c r="D59" s="29"/>
      <c r="E59" s="29"/>
      <c r="F59" s="29"/>
      <c r="G59" s="29"/>
      <c r="H59" s="29"/>
      <c r="I59" s="29"/>
      <c r="J59" s="29"/>
      <c r="K59" s="29"/>
      <c r="L59" s="29"/>
      <c r="M59" s="29"/>
      <c r="N59" s="29"/>
      <c r="O59" s="29"/>
      <c r="P59" s="29"/>
    </row>
    <row r="60" spans="2:16" hidden="1" x14ac:dyDescent="0.2">
      <c r="B60" s="29"/>
      <c r="C60" s="29"/>
      <c r="D60" s="29"/>
      <c r="E60" s="29"/>
      <c r="F60" s="29"/>
      <c r="G60" s="29"/>
      <c r="H60" s="29"/>
      <c r="I60" s="29"/>
      <c r="J60" s="29"/>
      <c r="K60" s="29"/>
      <c r="L60" s="29"/>
      <c r="M60" s="29"/>
      <c r="N60" s="29"/>
      <c r="O60" s="29"/>
      <c r="P60" s="29"/>
    </row>
    <row r="61" spans="2:16" hidden="1" x14ac:dyDescent="0.2">
      <c r="B61" s="29"/>
      <c r="C61" s="29"/>
      <c r="D61" s="29"/>
      <c r="E61" s="29"/>
      <c r="F61" s="29"/>
      <c r="G61" s="29"/>
      <c r="H61" s="29"/>
      <c r="I61" s="29"/>
      <c r="J61" s="29"/>
      <c r="K61" s="29"/>
      <c r="L61" s="29"/>
      <c r="M61" s="29"/>
      <c r="N61" s="29"/>
      <c r="O61" s="29"/>
      <c r="P61" s="29"/>
    </row>
    <row r="62" spans="2:16" hidden="1" x14ac:dyDescent="0.2">
      <c r="B62" s="29"/>
      <c r="C62" s="29"/>
      <c r="D62" s="29"/>
      <c r="E62" s="29"/>
      <c r="F62" s="29"/>
      <c r="G62" s="29"/>
      <c r="H62" s="29"/>
      <c r="I62" s="29"/>
      <c r="J62" s="29"/>
      <c r="K62" s="29"/>
      <c r="L62" s="29"/>
      <c r="M62" s="29"/>
      <c r="N62" s="29"/>
      <c r="O62" s="29"/>
      <c r="P62" s="29"/>
    </row>
    <row r="63" spans="2:16" hidden="1" x14ac:dyDescent="0.2">
      <c r="B63" s="29"/>
      <c r="C63" s="29"/>
      <c r="D63" s="29"/>
      <c r="E63" s="29"/>
      <c r="F63" s="29"/>
      <c r="G63" s="29"/>
      <c r="H63" s="29"/>
      <c r="I63" s="29"/>
      <c r="J63" s="29"/>
      <c r="K63" s="29"/>
      <c r="L63" s="29"/>
      <c r="M63" s="29"/>
      <c r="N63" s="29"/>
      <c r="O63" s="29"/>
      <c r="P63" s="29"/>
    </row>
    <row r="64" spans="2:16" hidden="1" x14ac:dyDescent="0.2">
      <c r="B64" s="29"/>
      <c r="C64" s="29"/>
      <c r="D64" s="29"/>
      <c r="E64" s="29"/>
      <c r="F64" s="29"/>
      <c r="G64" s="29"/>
      <c r="H64" s="29"/>
      <c r="I64" s="29"/>
      <c r="J64" s="29"/>
      <c r="K64" s="29"/>
      <c r="L64" s="29"/>
      <c r="M64" s="29"/>
      <c r="N64" s="29"/>
      <c r="O64" s="29"/>
      <c r="P64" s="29"/>
    </row>
    <row r="65" spans="2:16" hidden="1" x14ac:dyDescent="0.2">
      <c r="B65" s="29"/>
      <c r="C65" s="29"/>
      <c r="D65" s="29"/>
      <c r="E65" s="29"/>
      <c r="F65" s="29"/>
      <c r="G65" s="29"/>
      <c r="H65" s="29"/>
      <c r="I65" s="29"/>
      <c r="J65" s="29"/>
      <c r="K65" s="29"/>
      <c r="L65" s="29"/>
      <c r="M65" s="29"/>
      <c r="N65" s="29"/>
      <c r="O65" s="29"/>
      <c r="P65" s="29"/>
    </row>
    <row r="66" spans="2:16" hidden="1" x14ac:dyDescent="0.2">
      <c r="B66" s="29"/>
      <c r="C66" s="29"/>
      <c r="D66" s="29"/>
      <c r="E66" s="29"/>
      <c r="F66" s="29"/>
      <c r="G66" s="29"/>
      <c r="H66" s="29"/>
      <c r="I66" s="29"/>
      <c r="J66" s="29"/>
      <c r="K66" s="29"/>
      <c r="L66" s="29"/>
      <c r="M66" s="29"/>
      <c r="N66" s="29"/>
      <c r="O66" s="29"/>
      <c r="P66" s="29"/>
    </row>
    <row r="67" spans="2:16" hidden="1" x14ac:dyDescent="0.2">
      <c r="B67" s="29"/>
      <c r="C67" s="29"/>
      <c r="D67" s="29"/>
      <c r="E67" s="29"/>
      <c r="F67" s="29"/>
      <c r="G67" s="29"/>
      <c r="H67" s="29"/>
      <c r="I67" s="29"/>
      <c r="J67" s="29"/>
      <c r="K67" s="29"/>
      <c r="L67" s="29"/>
      <c r="M67" s="29"/>
      <c r="N67" s="29"/>
      <c r="O67" s="29"/>
      <c r="P67" s="29"/>
    </row>
    <row r="68" spans="2:16" hidden="1" x14ac:dyDescent="0.2">
      <c r="B68" s="29"/>
      <c r="C68" s="29"/>
      <c r="D68" s="29"/>
      <c r="E68" s="29"/>
      <c r="F68" s="29"/>
      <c r="G68" s="29"/>
      <c r="H68" s="29"/>
      <c r="I68" s="29"/>
      <c r="J68" s="29"/>
      <c r="K68" s="29"/>
      <c r="L68" s="29"/>
      <c r="M68" s="29"/>
      <c r="N68" s="29"/>
      <c r="O68" s="29"/>
      <c r="P68" s="29"/>
    </row>
    <row r="69" spans="2:16" hidden="1" x14ac:dyDescent="0.2">
      <c r="B69" s="29"/>
      <c r="C69" s="29"/>
      <c r="D69" s="29"/>
      <c r="E69" s="29"/>
      <c r="F69" s="29"/>
      <c r="G69" s="29"/>
      <c r="H69" s="29"/>
      <c r="I69" s="29"/>
      <c r="J69" s="29"/>
      <c r="K69" s="29"/>
      <c r="L69" s="29"/>
      <c r="M69" s="29"/>
      <c r="N69" s="29"/>
      <c r="O69" s="29"/>
      <c r="P69" s="29"/>
    </row>
    <row r="70" spans="2:16" hidden="1" x14ac:dyDescent="0.2">
      <c r="B70" s="29"/>
      <c r="C70" s="29"/>
      <c r="D70" s="29"/>
      <c r="E70" s="29"/>
      <c r="F70" s="29"/>
      <c r="G70" s="29"/>
      <c r="H70" s="29"/>
      <c r="I70" s="29"/>
      <c r="J70" s="29"/>
      <c r="K70" s="29"/>
      <c r="L70" s="29"/>
      <c r="M70" s="29"/>
      <c r="N70" s="29"/>
      <c r="O70" s="29"/>
      <c r="P70" s="29"/>
    </row>
    <row r="71" spans="2:16" hidden="1" x14ac:dyDescent="0.2">
      <c r="B71" s="29"/>
      <c r="C71" s="29"/>
      <c r="D71" s="29"/>
      <c r="E71" s="29"/>
      <c r="F71" s="29"/>
      <c r="G71" s="29"/>
      <c r="H71" s="29"/>
      <c r="I71" s="29"/>
      <c r="J71" s="29"/>
      <c r="K71" s="29"/>
      <c r="L71" s="29"/>
      <c r="M71" s="29"/>
      <c r="N71" s="29"/>
      <c r="O71" s="29"/>
      <c r="P71" s="29"/>
    </row>
    <row r="72" spans="2:16" hidden="1" x14ac:dyDescent="0.2">
      <c r="B72" s="29"/>
      <c r="C72" s="29"/>
      <c r="D72" s="29"/>
      <c r="E72" s="29"/>
      <c r="F72" s="29"/>
      <c r="G72" s="29"/>
      <c r="H72" s="29"/>
      <c r="I72" s="29"/>
      <c r="J72" s="29"/>
      <c r="K72" s="29"/>
      <c r="L72" s="29"/>
      <c r="M72" s="29"/>
      <c r="N72" s="29"/>
      <c r="O72" s="29"/>
      <c r="P72" s="29"/>
    </row>
    <row r="73" spans="2:16" hidden="1" x14ac:dyDescent="0.2">
      <c r="B73" s="29"/>
      <c r="C73" s="29"/>
      <c r="D73" s="29"/>
      <c r="E73" s="29"/>
      <c r="F73" s="29"/>
      <c r="G73" s="29"/>
      <c r="H73" s="29"/>
      <c r="I73" s="29"/>
      <c r="J73" s="29"/>
      <c r="K73" s="29"/>
      <c r="L73" s="29"/>
      <c r="M73" s="29"/>
      <c r="N73" s="29"/>
      <c r="O73" s="29"/>
      <c r="P73" s="29"/>
    </row>
    <row r="74" spans="2:16" hidden="1" x14ac:dyDescent="0.2">
      <c r="B74" s="29"/>
      <c r="C74" s="29"/>
      <c r="D74" s="29"/>
      <c r="E74" s="29"/>
      <c r="F74" s="29"/>
      <c r="G74" s="29"/>
      <c r="H74" s="29"/>
      <c r="I74" s="29"/>
      <c r="J74" s="29"/>
      <c r="K74" s="29"/>
      <c r="L74" s="29"/>
      <c r="M74" s="29"/>
      <c r="N74" s="29"/>
      <c r="O74" s="29"/>
      <c r="P74" s="29"/>
    </row>
    <row r="75" spans="2:16" hidden="1" x14ac:dyDescent="0.2">
      <c r="B75" s="29"/>
      <c r="C75" s="29"/>
      <c r="D75" s="29"/>
      <c r="E75" s="29"/>
      <c r="F75" s="29"/>
      <c r="G75" s="29"/>
      <c r="H75" s="29"/>
      <c r="I75" s="29"/>
      <c r="J75" s="29"/>
      <c r="K75" s="29"/>
      <c r="L75" s="29"/>
      <c r="M75" s="29"/>
      <c r="N75" s="29"/>
      <c r="O75" s="29"/>
      <c r="P75" s="29"/>
    </row>
    <row r="76" spans="2:16" hidden="1" x14ac:dyDescent="0.2">
      <c r="B76" s="29"/>
      <c r="C76" s="29"/>
      <c r="D76" s="29"/>
      <c r="E76" s="29"/>
      <c r="F76" s="29"/>
      <c r="G76" s="29"/>
      <c r="H76" s="29"/>
      <c r="I76" s="29"/>
      <c r="J76" s="29"/>
      <c r="K76" s="29"/>
      <c r="L76" s="29"/>
      <c r="M76" s="29"/>
      <c r="N76" s="29"/>
      <c r="O76" s="29"/>
      <c r="P76" s="29"/>
    </row>
    <row r="77" spans="2:16" hidden="1" x14ac:dyDescent="0.2">
      <c r="B77" s="29"/>
      <c r="C77" s="29"/>
      <c r="D77" s="29"/>
      <c r="E77" s="29"/>
      <c r="F77" s="29"/>
      <c r="G77" s="29"/>
      <c r="H77" s="29"/>
      <c r="I77" s="29"/>
      <c r="J77" s="29"/>
      <c r="K77" s="29"/>
      <c r="L77" s="29"/>
      <c r="M77" s="29"/>
      <c r="N77" s="29"/>
      <c r="O77" s="29"/>
      <c r="P77" s="29"/>
    </row>
    <row r="78" spans="2:16" hidden="1" x14ac:dyDescent="0.2">
      <c r="B78" s="29"/>
      <c r="C78" s="29"/>
      <c r="D78" s="29"/>
      <c r="E78" s="29"/>
      <c r="F78" s="29"/>
      <c r="G78" s="29"/>
      <c r="H78" s="29"/>
      <c r="I78" s="29"/>
      <c r="J78" s="29"/>
      <c r="K78" s="29"/>
      <c r="L78" s="29"/>
      <c r="M78" s="29"/>
      <c r="N78" s="29"/>
      <c r="O78" s="29"/>
      <c r="P78" s="29"/>
    </row>
    <row r="79" spans="2:16" hidden="1" x14ac:dyDescent="0.2">
      <c r="B79" s="29"/>
      <c r="C79" s="29"/>
      <c r="D79" s="29"/>
      <c r="E79" s="29"/>
      <c r="F79" s="29"/>
      <c r="G79" s="29"/>
      <c r="H79" s="29"/>
      <c r="I79" s="29"/>
      <c r="J79" s="29"/>
      <c r="K79" s="29"/>
      <c r="L79" s="29"/>
      <c r="M79" s="29"/>
      <c r="N79" s="29"/>
      <c r="O79" s="29"/>
      <c r="P79" s="29"/>
    </row>
    <row r="80" spans="2:16" hidden="1" x14ac:dyDescent="0.2">
      <c r="B80" s="29"/>
      <c r="C80" s="29"/>
      <c r="D80" s="29"/>
      <c r="E80" s="29"/>
      <c r="F80" s="29"/>
      <c r="G80" s="29"/>
      <c r="H80" s="29"/>
      <c r="I80" s="29"/>
      <c r="J80" s="29"/>
      <c r="K80" s="29"/>
      <c r="L80" s="29"/>
      <c r="M80" s="29"/>
      <c r="N80" s="29"/>
      <c r="O80" s="29"/>
      <c r="P80" s="29"/>
    </row>
    <row r="81" spans="2:16" hidden="1" x14ac:dyDescent="0.2">
      <c r="B81" s="29"/>
      <c r="C81" s="29"/>
      <c r="D81" s="29"/>
      <c r="E81" s="29"/>
      <c r="F81" s="29"/>
      <c r="G81" s="29"/>
      <c r="H81" s="29"/>
      <c r="I81" s="29"/>
      <c r="J81" s="29"/>
      <c r="K81" s="29"/>
      <c r="L81" s="29"/>
      <c r="M81" s="29"/>
      <c r="N81" s="29"/>
      <c r="O81" s="29"/>
      <c r="P81" s="29"/>
    </row>
    <row r="82" spans="2:16" hidden="1" x14ac:dyDescent="0.2">
      <c r="B82" s="29"/>
      <c r="C82" s="29"/>
      <c r="D82" s="29"/>
      <c r="E82" s="29"/>
      <c r="F82" s="29"/>
      <c r="G82" s="29"/>
      <c r="H82" s="29"/>
      <c r="I82" s="29"/>
      <c r="J82" s="29"/>
      <c r="K82" s="29"/>
      <c r="L82" s="29"/>
      <c r="M82" s="29"/>
      <c r="N82" s="29"/>
      <c r="O82" s="29"/>
      <c r="P82" s="29"/>
    </row>
    <row r="83" spans="2:16" hidden="1" x14ac:dyDescent="0.2">
      <c r="B83" s="29"/>
      <c r="C83" s="29"/>
      <c r="D83" s="29"/>
      <c r="E83" s="29"/>
      <c r="F83" s="29"/>
      <c r="G83" s="29"/>
      <c r="H83" s="29"/>
      <c r="I83" s="29"/>
      <c r="J83" s="29"/>
      <c r="K83" s="29"/>
      <c r="L83" s="29"/>
      <c r="M83" s="29"/>
      <c r="N83" s="29"/>
      <c r="O83" s="29"/>
      <c r="P83" s="29"/>
    </row>
    <row r="84" spans="2:16" hidden="1" x14ac:dyDescent="0.2">
      <c r="B84" s="29"/>
      <c r="C84" s="29"/>
      <c r="D84" s="29"/>
      <c r="E84" s="29"/>
      <c r="F84" s="29"/>
      <c r="G84" s="29"/>
      <c r="H84" s="29"/>
      <c r="I84" s="29"/>
      <c r="J84" s="29"/>
      <c r="K84" s="29"/>
      <c r="L84" s="29"/>
      <c r="M84" s="29"/>
      <c r="N84" s="29"/>
      <c r="O84" s="29"/>
      <c r="P84" s="29"/>
    </row>
    <row r="85" spans="2:16" hidden="1" x14ac:dyDescent="0.2">
      <c r="B85" s="29"/>
      <c r="C85" s="29"/>
      <c r="D85" s="29"/>
      <c r="E85" s="29"/>
      <c r="F85" s="29"/>
      <c r="G85" s="29"/>
      <c r="H85" s="29"/>
      <c r="I85" s="29"/>
      <c r="J85" s="29"/>
      <c r="K85" s="29"/>
      <c r="L85" s="29"/>
      <c r="M85" s="29"/>
      <c r="N85" s="29"/>
      <c r="O85" s="29"/>
      <c r="P85" s="29"/>
    </row>
    <row r="86" spans="2:16" hidden="1" x14ac:dyDescent="0.2">
      <c r="B86" s="29"/>
      <c r="C86" s="29"/>
      <c r="D86" s="29"/>
      <c r="E86" s="29"/>
      <c r="F86" s="29"/>
      <c r="G86" s="29"/>
      <c r="H86" s="29"/>
      <c r="I86" s="29"/>
      <c r="J86" s="29"/>
      <c r="K86" s="29"/>
      <c r="L86" s="29"/>
      <c r="M86" s="29"/>
      <c r="N86" s="29"/>
      <c r="O86" s="29"/>
      <c r="P86" s="29"/>
    </row>
    <row r="87" spans="2:16" hidden="1" x14ac:dyDescent="0.2">
      <c r="B87" s="29"/>
      <c r="C87" s="29"/>
      <c r="D87" s="29"/>
      <c r="E87" s="29"/>
      <c r="F87" s="29"/>
      <c r="G87" s="29"/>
      <c r="H87" s="29"/>
      <c r="I87" s="29"/>
      <c r="J87" s="29"/>
      <c r="K87" s="29"/>
      <c r="L87" s="29"/>
      <c r="M87" s="29"/>
      <c r="N87" s="29"/>
      <c r="O87" s="29"/>
      <c r="P87" s="29"/>
    </row>
    <row r="88" spans="2:16" hidden="1" x14ac:dyDescent="0.2">
      <c r="B88" s="29"/>
      <c r="C88" s="29"/>
      <c r="D88" s="29"/>
      <c r="E88" s="29"/>
      <c r="F88" s="29"/>
      <c r="G88" s="29"/>
      <c r="H88" s="29"/>
      <c r="I88" s="29"/>
      <c r="J88" s="29"/>
      <c r="K88" s="29"/>
      <c r="L88" s="29"/>
      <c r="M88" s="29"/>
      <c r="N88" s="29"/>
      <c r="O88" s="29"/>
      <c r="P88" s="29"/>
    </row>
    <row r="89" spans="2:16" hidden="1" x14ac:dyDescent="0.2">
      <c r="B89" s="29"/>
      <c r="C89" s="29"/>
      <c r="D89" s="29"/>
      <c r="E89" s="29"/>
      <c r="F89" s="29"/>
      <c r="G89" s="29"/>
      <c r="H89" s="29"/>
      <c r="I89" s="29"/>
      <c r="J89" s="29"/>
      <c r="K89" s="29"/>
      <c r="L89" s="29"/>
      <c r="M89" s="29"/>
      <c r="N89" s="29"/>
      <c r="O89" s="29"/>
      <c r="P89" s="29"/>
    </row>
    <row r="90" spans="2:16" hidden="1" x14ac:dyDescent="0.2">
      <c r="B90" s="29"/>
      <c r="C90" s="29"/>
      <c r="D90" s="29"/>
      <c r="E90" s="29"/>
      <c r="F90" s="29"/>
      <c r="G90" s="29"/>
      <c r="H90" s="29"/>
      <c r="I90" s="29"/>
      <c r="J90" s="29"/>
      <c r="K90" s="29"/>
      <c r="L90" s="29"/>
      <c r="M90" s="29"/>
      <c r="N90" s="29"/>
      <c r="O90" s="29"/>
      <c r="P90" s="29"/>
    </row>
    <row r="91" spans="2:16" hidden="1" x14ac:dyDescent="0.2">
      <c r="B91" s="29"/>
      <c r="C91" s="29"/>
      <c r="D91" s="29"/>
      <c r="E91" s="29"/>
      <c r="F91" s="29"/>
      <c r="G91" s="29"/>
      <c r="H91" s="29"/>
      <c r="I91" s="29"/>
      <c r="J91" s="29"/>
      <c r="K91" s="29"/>
      <c r="L91" s="29"/>
      <c r="M91" s="29"/>
      <c r="N91" s="29"/>
      <c r="O91" s="29"/>
      <c r="P91" s="29"/>
    </row>
    <row r="92" spans="2:16" hidden="1" x14ac:dyDescent="0.2">
      <c r="B92" s="29"/>
      <c r="C92" s="29"/>
      <c r="D92" s="29"/>
      <c r="E92" s="29"/>
      <c r="F92" s="29"/>
      <c r="G92" s="29"/>
      <c r="H92" s="29"/>
      <c r="I92" s="29"/>
      <c r="J92" s="29"/>
      <c r="K92" s="29"/>
      <c r="L92" s="29"/>
      <c r="M92" s="29"/>
      <c r="N92" s="29"/>
      <c r="O92" s="29"/>
      <c r="P92" s="29"/>
    </row>
    <row r="93" spans="2:16" hidden="1" x14ac:dyDescent="0.2">
      <c r="B93" s="29"/>
      <c r="C93" s="29"/>
      <c r="D93" s="29"/>
      <c r="E93" s="29"/>
      <c r="F93" s="29"/>
      <c r="G93" s="29"/>
      <c r="H93" s="29"/>
      <c r="I93" s="29"/>
      <c r="J93" s="29"/>
      <c r="K93" s="29"/>
      <c r="L93" s="29"/>
      <c r="M93" s="29"/>
      <c r="N93" s="29"/>
      <c r="O93" s="29"/>
      <c r="P93" s="29"/>
    </row>
    <row r="94" spans="2:16" hidden="1" x14ac:dyDescent="0.2">
      <c r="B94" s="29"/>
      <c r="C94" s="29"/>
      <c r="D94" s="29"/>
      <c r="E94" s="29"/>
      <c r="F94" s="29"/>
      <c r="G94" s="29"/>
      <c r="H94" s="29"/>
      <c r="I94" s="29"/>
      <c r="J94" s="29"/>
      <c r="K94" s="29"/>
      <c r="L94" s="29"/>
      <c r="M94" s="29"/>
      <c r="N94" s="29"/>
      <c r="O94" s="29"/>
      <c r="P94" s="29"/>
    </row>
    <row r="95" spans="2:16" hidden="1" x14ac:dyDescent="0.2">
      <c r="B95" s="29"/>
      <c r="C95" s="29"/>
      <c r="D95" s="29"/>
      <c r="E95" s="29"/>
      <c r="F95" s="29"/>
      <c r="G95" s="29"/>
      <c r="H95" s="29"/>
      <c r="I95" s="29"/>
      <c r="J95" s="29"/>
      <c r="K95" s="29"/>
      <c r="L95" s="29"/>
      <c r="M95" s="29"/>
      <c r="N95" s="29"/>
      <c r="O95" s="29"/>
      <c r="P95" s="29"/>
    </row>
    <row r="96" spans="2:16" hidden="1" x14ac:dyDescent="0.2">
      <c r="B96" s="29"/>
      <c r="C96" s="29"/>
      <c r="D96" s="29"/>
      <c r="E96" s="29"/>
      <c r="F96" s="29"/>
      <c r="G96" s="29"/>
      <c r="H96" s="29"/>
      <c r="I96" s="29"/>
      <c r="J96" s="29"/>
      <c r="K96" s="29"/>
      <c r="L96" s="29"/>
      <c r="M96" s="29"/>
      <c r="N96" s="29"/>
      <c r="O96" s="29"/>
      <c r="P96" s="29"/>
    </row>
    <row r="97" spans="2:16" hidden="1" x14ac:dyDescent="0.2">
      <c r="B97" s="29"/>
      <c r="C97" s="29"/>
      <c r="D97" s="29"/>
      <c r="E97" s="29"/>
      <c r="F97" s="29"/>
      <c r="G97" s="29"/>
      <c r="H97" s="29"/>
      <c r="I97" s="29"/>
      <c r="J97" s="29"/>
      <c r="K97" s="29"/>
      <c r="L97" s="29"/>
      <c r="M97" s="29"/>
      <c r="N97" s="29"/>
      <c r="O97" s="29"/>
      <c r="P97" s="29"/>
    </row>
    <row r="98" spans="2:16" hidden="1" x14ac:dyDescent="0.2">
      <c r="B98" s="29"/>
      <c r="C98" s="29"/>
      <c r="D98" s="29"/>
      <c r="E98" s="29"/>
      <c r="F98" s="29"/>
      <c r="G98" s="29"/>
      <c r="H98" s="29"/>
      <c r="I98" s="29"/>
      <c r="J98" s="29"/>
      <c r="K98" s="29"/>
      <c r="L98" s="29"/>
      <c r="M98" s="29"/>
      <c r="N98" s="29"/>
      <c r="O98" s="29"/>
      <c r="P98" s="29"/>
    </row>
    <row r="99" spans="2:16" hidden="1" x14ac:dyDescent="0.2">
      <c r="B99" s="29"/>
      <c r="C99" s="29"/>
      <c r="D99" s="29"/>
      <c r="E99" s="29"/>
      <c r="F99" s="29"/>
      <c r="G99" s="29"/>
      <c r="H99" s="29"/>
      <c r="I99" s="29"/>
      <c r="J99" s="29"/>
      <c r="K99" s="29"/>
      <c r="L99" s="29"/>
      <c r="M99" s="29"/>
      <c r="N99" s="29"/>
      <c r="O99" s="29"/>
      <c r="P99" s="29"/>
    </row>
    <row r="100" spans="2:16" hidden="1" x14ac:dyDescent="0.2">
      <c r="B100" s="29"/>
      <c r="C100" s="29"/>
      <c r="D100" s="29"/>
      <c r="E100" s="29"/>
      <c r="F100" s="29"/>
      <c r="G100" s="29"/>
      <c r="H100" s="29"/>
      <c r="I100" s="29"/>
      <c r="J100" s="29"/>
      <c r="K100" s="29"/>
      <c r="L100" s="29"/>
      <c r="M100" s="29"/>
      <c r="N100" s="29"/>
      <c r="O100" s="29"/>
      <c r="P100" s="29"/>
    </row>
    <row r="101" spans="2:16" hidden="1" x14ac:dyDescent="0.2">
      <c r="B101" s="29"/>
      <c r="C101" s="29"/>
      <c r="D101" s="29"/>
      <c r="E101" s="29"/>
      <c r="F101" s="29"/>
      <c r="G101" s="29"/>
      <c r="H101" s="29"/>
      <c r="I101" s="29"/>
      <c r="J101" s="29"/>
      <c r="K101" s="29"/>
      <c r="L101" s="29"/>
      <c r="M101" s="29"/>
      <c r="N101" s="29"/>
      <c r="O101" s="29"/>
      <c r="P101" s="29"/>
    </row>
    <row r="102" spans="2:16" hidden="1" x14ac:dyDescent="0.2">
      <c r="B102" s="29"/>
      <c r="C102" s="29"/>
      <c r="D102" s="29"/>
      <c r="E102" s="29"/>
      <c r="F102" s="29"/>
      <c r="G102" s="29"/>
      <c r="H102" s="29"/>
      <c r="I102" s="29"/>
      <c r="J102" s="29"/>
      <c r="K102" s="29"/>
      <c r="L102" s="29"/>
      <c r="M102" s="29"/>
      <c r="N102" s="29"/>
      <c r="O102" s="29"/>
      <c r="P102" s="29"/>
    </row>
    <row r="103" spans="2:16" hidden="1" x14ac:dyDescent="0.2">
      <c r="B103" s="29"/>
      <c r="C103" s="29"/>
      <c r="D103" s="29"/>
      <c r="E103" s="29"/>
      <c r="F103" s="29"/>
      <c r="G103" s="29"/>
      <c r="H103" s="29"/>
      <c r="I103" s="29"/>
      <c r="J103" s="29"/>
      <c r="K103" s="29"/>
      <c r="L103" s="29"/>
      <c r="M103" s="29"/>
      <c r="N103" s="29"/>
      <c r="O103" s="29"/>
      <c r="P103" s="29"/>
    </row>
    <row r="104" spans="2:16" hidden="1" x14ac:dyDescent="0.2">
      <c r="B104" s="29"/>
      <c r="C104" s="29"/>
      <c r="D104" s="29"/>
      <c r="E104" s="29"/>
      <c r="F104" s="29"/>
      <c r="G104" s="29"/>
      <c r="H104" s="29"/>
      <c r="I104" s="29"/>
      <c r="J104" s="29"/>
      <c r="K104" s="29"/>
      <c r="L104" s="29"/>
      <c r="M104" s="29"/>
      <c r="N104" s="29"/>
      <c r="O104" s="29"/>
      <c r="P104" s="29"/>
    </row>
    <row r="105" spans="2:16" hidden="1" x14ac:dyDescent="0.2">
      <c r="B105" s="29"/>
      <c r="C105" s="29"/>
      <c r="D105" s="29"/>
      <c r="E105" s="29"/>
      <c r="F105" s="29"/>
      <c r="G105" s="29"/>
      <c r="H105" s="29"/>
      <c r="I105" s="29"/>
      <c r="J105" s="29"/>
      <c r="K105" s="29"/>
      <c r="L105" s="29"/>
      <c r="M105" s="29"/>
      <c r="N105" s="29"/>
      <c r="O105" s="29"/>
      <c r="P105" s="29"/>
    </row>
    <row r="106" spans="2:16" hidden="1" x14ac:dyDescent="0.2">
      <c r="B106" s="29"/>
      <c r="C106" s="29"/>
      <c r="D106" s="29"/>
      <c r="E106" s="29"/>
      <c r="F106" s="29"/>
      <c r="G106" s="29"/>
      <c r="H106" s="29"/>
      <c r="I106" s="29"/>
      <c r="J106" s="29"/>
      <c r="K106" s="29"/>
      <c r="L106" s="29"/>
      <c r="M106" s="29"/>
      <c r="N106" s="29"/>
      <c r="O106" s="29"/>
      <c r="P106" s="29"/>
    </row>
    <row r="107" spans="2:16" hidden="1" x14ac:dyDescent="0.2">
      <c r="B107" s="29"/>
      <c r="C107" s="29"/>
      <c r="D107" s="29"/>
      <c r="E107" s="29"/>
      <c r="F107" s="29"/>
      <c r="G107" s="29"/>
      <c r="H107" s="29"/>
      <c r="I107" s="29"/>
      <c r="J107" s="29"/>
      <c r="K107" s="29"/>
      <c r="L107" s="29"/>
      <c r="M107" s="29"/>
      <c r="N107" s="29"/>
      <c r="O107" s="29"/>
      <c r="P107" s="29"/>
    </row>
    <row r="108" spans="2:16" hidden="1" x14ac:dyDescent="0.2">
      <c r="B108" s="29"/>
      <c r="C108" s="29"/>
      <c r="D108" s="29"/>
      <c r="E108" s="29"/>
      <c r="F108" s="29"/>
      <c r="G108" s="29"/>
      <c r="H108" s="29"/>
      <c r="I108" s="29"/>
      <c r="J108" s="29"/>
      <c r="K108" s="29"/>
      <c r="L108" s="29"/>
      <c r="M108" s="29"/>
      <c r="N108" s="29"/>
      <c r="O108" s="29"/>
      <c r="P108" s="29"/>
    </row>
    <row r="109" spans="2:16" hidden="1" x14ac:dyDescent="0.2">
      <c r="B109" s="29"/>
      <c r="C109" s="29"/>
      <c r="D109" s="29"/>
      <c r="E109" s="29"/>
      <c r="F109" s="29"/>
      <c r="G109" s="29"/>
      <c r="H109" s="29"/>
      <c r="I109" s="29"/>
      <c r="J109" s="29"/>
      <c r="K109" s="29"/>
      <c r="L109" s="29"/>
      <c r="M109" s="29"/>
      <c r="N109" s="29"/>
      <c r="O109" s="29"/>
      <c r="P109" s="29"/>
    </row>
    <row r="110" spans="2:16" hidden="1" x14ac:dyDescent="0.2">
      <c r="B110" s="29"/>
      <c r="C110" s="29"/>
      <c r="D110" s="29"/>
      <c r="E110" s="29"/>
      <c r="F110" s="29"/>
      <c r="G110" s="29"/>
      <c r="H110" s="29"/>
      <c r="I110" s="29"/>
      <c r="J110" s="29"/>
      <c r="K110" s="29"/>
      <c r="L110" s="29"/>
      <c r="M110" s="29"/>
      <c r="N110" s="29"/>
      <c r="O110" s="29"/>
      <c r="P110" s="29"/>
    </row>
    <row r="111" spans="2:16" hidden="1" x14ac:dyDescent="0.2">
      <c r="B111" s="29"/>
      <c r="C111" s="29"/>
      <c r="D111" s="29"/>
      <c r="E111" s="29"/>
      <c r="F111" s="29"/>
      <c r="G111" s="29"/>
      <c r="H111" s="29"/>
      <c r="I111" s="29"/>
      <c r="J111" s="29"/>
      <c r="K111" s="29"/>
      <c r="L111" s="29"/>
      <c r="M111" s="29"/>
      <c r="N111" s="29"/>
      <c r="O111" s="29"/>
      <c r="P111" s="29"/>
    </row>
    <row r="112" spans="2:16" hidden="1" x14ac:dyDescent="0.2">
      <c r="B112" s="29"/>
      <c r="C112" s="29"/>
      <c r="D112" s="29"/>
      <c r="E112" s="29"/>
      <c r="F112" s="29"/>
      <c r="G112" s="29"/>
      <c r="H112" s="29"/>
      <c r="I112" s="29"/>
      <c r="J112" s="29"/>
      <c r="K112" s="29"/>
      <c r="L112" s="29"/>
      <c r="M112" s="29"/>
      <c r="N112" s="29"/>
      <c r="O112" s="29"/>
      <c r="P112" s="29"/>
    </row>
    <row r="113" spans="2:16" hidden="1" x14ac:dyDescent="0.2">
      <c r="B113" s="29"/>
      <c r="C113" s="29"/>
      <c r="D113" s="29"/>
      <c r="E113" s="29"/>
      <c r="F113" s="29"/>
      <c r="G113" s="29"/>
      <c r="H113" s="29"/>
      <c r="I113" s="29"/>
      <c r="J113" s="29"/>
      <c r="K113" s="29"/>
      <c r="L113" s="29"/>
      <c r="M113" s="29"/>
      <c r="N113" s="29"/>
      <c r="O113" s="29"/>
      <c r="P113" s="29"/>
    </row>
    <row r="114" spans="2:16" hidden="1" x14ac:dyDescent="0.2">
      <c r="B114" s="29"/>
      <c r="C114" s="29"/>
      <c r="D114" s="29"/>
      <c r="E114" s="29"/>
      <c r="F114" s="29"/>
      <c r="G114" s="29"/>
      <c r="H114" s="29"/>
      <c r="I114" s="29"/>
      <c r="J114" s="29"/>
      <c r="K114" s="29"/>
      <c r="L114" s="29"/>
      <c r="M114" s="29"/>
      <c r="N114" s="29"/>
      <c r="O114" s="29"/>
      <c r="P114" s="29"/>
    </row>
    <row r="115" spans="2:16" hidden="1" x14ac:dyDescent="0.2">
      <c r="B115" s="29"/>
      <c r="C115" s="29"/>
      <c r="D115" s="29"/>
      <c r="E115" s="29"/>
      <c r="F115" s="29"/>
      <c r="G115" s="29"/>
      <c r="H115" s="29"/>
      <c r="I115" s="29"/>
      <c r="J115" s="29"/>
      <c r="K115" s="29"/>
      <c r="L115" s="29"/>
      <c r="M115" s="29"/>
      <c r="N115" s="29"/>
      <c r="O115" s="29"/>
      <c r="P115" s="29"/>
    </row>
    <row r="116" spans="2:16" hidden="1" x14ac:dyDescent="0.2">
      <c r="B116" s="29"/>
      <c r="C116" s="29"/>
      <c r="D116" s="29"/>
      <c r="E116" s="29"/>
      <c r="F116" s="29"/>
      <c r="G116" s="29"/>
      <c r="H116" s="29"/>
      <c r="I116" s="29"/>
      <c r="J116" s="29"/>
      <c r="K116" s="29"/>
      <c r="L116" s="29"/>
      <c r="M116" s="29"/>
      <c r="N116" s="29"/>
      <c r="O116" s="29"/>
      <c r="P116" s="29"/>
    </row>
    <row r="117" spans="2:16" hidden="1" x14ac:dyDescent="0.2">
      <c r="B117" s="29"/>
      <c r="C117" s="29"/>
      <c r="D117" s="29"/>
      <c r="E117" s="29"/>
      <c r="F117" s="29"/>
      <c r="G117" s="29"/>
      <c r="H117" s="29"/>
      <c r="I117" s="29"/>
      <c r="J117" s="29"/>
      <c r="K117" s="29"/>
      <c r="L117" s="29"/>
      <c r="M117" s="29"/>
      <c r="N117" s="29"/>
      <c r="O117" s="29"/>
      <c r="P117" s="29"/>
    </row>
    <row r="118" spans="2:16" hidden="1" x14ac:dyDescent="0.2">
      <c r="B118" s="29"/>
      <c r="C118" s="29"/>
      <c r="D118" s="29"/>
      <c r="E118" s="29"/>
      <c r="F118" s="29"/>
      <c r="G118" s="29"/>
      <c r="H118" s="29"/>
      <c r="I118" s="29"/>
      <c r="J118" s="29"/>
      <c r="K118" s="29"/>
      <c r="L118" s="29"/>
      <c r="M118" s="29"/>
      <c r="N118" s="29"/>
      <c r="O118" s="29"/>
      <c r="P118" s="29"/>
    </row>
    <row r="119" spans="2:16" hidden="1" x14ac:dyDescent="0.2">
      <c r="B119" s="29"/>
      <c r="C119" s="29"/>
      <c r="D119" s="29"/>
      <c r="E119" s="29"/>
      <c r="F119" s="29"/>
      <c r="G119" s="29"/>
      <c r="H119" s="29"/>
      <c r="I119" s="29"/>
      <c r="J119" s="29"/>
      <c r="K119" s="29"/>
      <c r="L119" s="29"/>
      <c r="M119" s="29"/>
      <c r="N119" s="29"/>
      <c r="O119" s="29"/>
      <c r="P119" s="29"/>
    </row>
    <row r="120" spans="2:16" hidden="1" x14ac:dyDescent="0.2">
      <c r="B120" s="29"/>
      <c r="C120" s="29"/>
      <c r="D120" s="29"/>
      <c r="E120" s="29"/>
      <c r="F120" s="29"/>
      <c r="G120" s="29"/>
      <c r="H120" s="29"/>
      <c r="I120" s="29"/>
      <c r="J120" s="29"/>
      <c r="K120" s="29"/>
      <c r="L120" s="29"/>
      <c r="M120" s="29"/>
      <c r="N120" s="29"/>
      <c r="O120" s="29"/>
      <c r="P120" s="29"/>
    </row>
    <row r="121" spans="2:16" hidden="1" x14ac:dyDescent="0.2">
      <c r="B121" s="29"/>
      <c r="C121" s="29"/>
      <c r="D121" s="29"/>
      <c r="E121" s="29"/>
      <c r="F121" s="29"/>
      <c r="G121" s="29"/>
      <c r="H121" s="29"/>
      <c r="I121" s="29"/>
      <c r="J121" s="29"/>
      <c r="K121" s="29"/>
      <c r="L121" s="29"/>
      <c r="M121" s="29"/>
      <c r="N121" s="29"/>
      <c r="O121" s="29"/>
      <c r="P121" s="29"/>
    </row>
    <row r="122" spans="2:16" hidden="1" x14ac:dyDescent="0.2">
      <c r="B122" s="29"/>
      <c r="C122" s="29"/>
      <c r="D122" s="29"/>
      <c r="E122" s="29"/>
      <c r="F122" s="29"/>
      <c r="G122" s="29"/>
      <c r="H122" s="29"/>
      <c r="I122" s="29"/>
      <c r="J122" s="29"/>
      <c r="K122" s="29"/>
      <c r="L122" s="29"/>
      <c r="M122" s="29"/>
      <c r="N122" s="29"/>
      <c r="O122" s="29"/>
      <c r="P122" s="29"/>
    </row>
    <row r="123" spans="2:16" hidden="1" x14ac:dyDescent="0.2">
      <c r="B123" s="29"/>
      <c r="C123" s="29"/>
      <c r="D123" s="29"/>
      <c r="E123" s="29"/>
      <c r="F123" s="29"/>
      <c r="G123" s="29"/>
      <c r="H123" s="29"/>
      <c r="I123" s="29"/>
      <c r="J123" s="29"/>
      <c r="K123" s="29"/>
      <c r="L123" s="29"/>
      <c r="M123" s="29"/>
      <c r="N123" s="29"/>
      <c r="O123" s="29"/>
      <c r="P123" s="29"/>
    </row>
    <row r="124" spans="2:16" hidden="1" x14ac:dyDescent="0.2">
      <c r="B124" s="29"/>
      <c r="C124" s="29"/>
      <c r="D124" s="29"/>
      <c r="E124" s="29"/>
      <c r="F124" s="29"/>
      <c r="G124" s="29"/>
      <c r="H124" s="29"/>
      <c r="I124" s="29"/>
      <c r="J124" s="29"/>
      <c r="K124" s="29"/>
      <c r="L124" s="29"/>
      <c r="M124" s="29"/>
      <c r="N124" s="29"/>
      <c r="O124" s="29"/>
      <c r="P124" s="29"/>
    </row>
    <row r="125" spans="2:16" hidden="1" x14ac:dyDescent="0.2">
      <c r="B125" s="29"/>
      <c r="C125" s="29"/>
      <c r="D125" s="29"/>
      <c r="E125" s="29"/>
      <c r="F125" s="29"/>
      <c r="G125" s="29"/>
      <c r="H125" s="29"/>
      <c r="I125" s="29"/>
      <c r="J125" s="29"/>
      <c r="K125" s="29"/>
      <c r="L125" s="29"/>
      <c r="M125" s="29"/>
      <c r="N125" s="29"/>
      <c r="O125" s="29"/>
      <c r="P125" s="29"/>
    </row>
    <row r="126" spans="2:16" hidden="1" x14ac:dyDescent="0.2">
      <c r="B126" s="29"/>
      <c r="C126" s="29"/>
      <c r="D126" s="29"/>
      <c r="E126" s="29"/>
      <c r="F126" s="29"/>
      <c r="G126" s="29"/>
      <c r="H126" s="29"/>
      <c r="I126" s="29"/>
      <c r="J126" s="29"/>
      <c r="K126" s="29"/>
      <c r="L126" s="29"/>
      <c r="M126" s="29"/>
      <c r="N126" s="29"/>
      <c r="O126" s="29"/>
      <c r="P126" s="29"/>
    </row>
    <row r="127" spans="2:16" hidden="1" x14ac:dyDescent="0.2">
      <c r="B127" s="29"/>
      <c r="C127" s="29"/>
      <c r="D127" s="29"/>
      <c r="E127" s="29"/>
      <c r="F127" s="29"/>
      <c r="G127" s="29"/>
      <c r="H127" s="29"/>
      <c r="I127" s="29"/>
      <c r="J127" s="29"/>
      <c r="K127" s="29"/>
      <c r="L127" s="29"/>
      <c r="M127" s="29"/>
      <c r="N127" s="29"/>
      <c r="O127" s="29"/>
      <c r="P127" s="29"/>
    </row>
    <row r="128" spans="2:16" hidden="1" x14ac:dyDescent="0.2">
      <c r="B128" s="29"/>
      <c r="C128" s="29"/>
      <c r="D128" s="29"/>
      <c r="E128" s="29"/>
      <c r="F128" s="29"/>
      <c r="G128" s="29"/>
      <c r="H128" s="29"/>
      <c r="I128" s="29"/>
      <c r="J128" s="29"/>
      <c r="K128" s="29"/>
      <c r="L128" s="29"/>
      <c r="M128" s="29"/>
      <c r="N128" s="29"/>
      <c r="O128" s="29"/>
      <c r="P128" s="29"/>
    </row>
    <row r="129" spans="2:16" hidden="1" x14ac:dyDescent="0.2">
      <c r="B129" s="29"/>
      <c r="C129" s="29"/>
      <c r="D129" s="29"/>
      <c r="E129" s="29"/>
      <c r="F129" s="29"/>
      <c r="G129" s="29"/>
      <c r="H129" s="29"/>
      <c r="I129" s="29"/>
      <c r="J129" s="29"/>
      <c r="K129" s="29"/>
      <c r="L129" s="29"/>
      <c r="M129" s="29"/>
      <c r="N129" s="29"/>
      <c r="O129" s="29"/>
      <c r="P129" s="29"/>
    </row>
    <row r="130" spans="2:16" hidden="1" x14ac:dyDescent="0.2">
      <c r="B130" s="29"/>
      <c r="C130" s="29"/>
      <c r="D130" s="29"/>
      <c r="E130" s="29"/>
      <c r="F130" s="29"/>
      <c r="G130" s="29"/>
      <c r="H130" s="29"/>
      <c r="I130" s="29"/>
      <c r="J130" s="29"/>
      <c r="K130" s="29"/>
      <c r="L130" s="29"/>
      <c r="M130" s="29"/>
      <c r="N130" s="29"/>
      <c r="O130" s="29"/>
      <c r="P130" s="29"/>
    </row>
    <row r="131" spans="2:16" hidden="1" x14ac:dyDescent="0.2">
      <c r="B131" s="29"/>
      <c r="C131" s="29"/>
      <c r="D131" s="29"/>
      <c r="E131" s="29"/>
      <c r="F131" s="29"/>
      <c r="G131" s="29"/>
      <c r="H131" s="29"/>
      <c r="I131" s="29"/>
      <c r="J131" s="29"/>
      <c r="K131" s="29"/>
      <c r="L131" s="29"/>
      <c r="M131" s="29"/>
      <c r="N131" s="29"/>
      <c r="O131" s="29"/>
      <c r="P131" s="29"/>
    </row>
    <row r="132" spans="2:16" hidden="1" x14ac:dyDescent="0.2">
      <c r="B132" s="29"/>
      <c r="C132" s="29"/>
      <c r="D132" s="29"/>
      <c r="E132" s="29"/>
      <c r="F132" s="29"/>
      <c r="G132" s="29"/>
      <c r="H132" s="29"/>
      <c r="I132" s="29"/>
      <c r="J132" s="29"/>
      <c r="K132" s="29"/>
      <c r="L132" s="29"/>
      <c r="M132" s="29"/>
      <c r="N132" s="29"/>
      <c r="O132" s="29"/>
      <c r="P132" s="29"/>
    </row>
    <row r="133" spans="2:16" hidden="1" x14ac:dyDescent="0.2">
      <c r="B133" s="29"/>
      <c r="C133" s="29"/>
      <c r="D133" s="29"/>
      <c r="E133" s="29"/>
      <c r="F133" s="29"/>
      <c r="G133" s="29"/>
      <c r="H133" s="29"/>
      <c r="I133" s="29"/>
      <c r="J133" s="29"/>
      <c r="K133" s="29"/>
      <c r="L133" s="29"/>
      <c r="M133" s="29"/>
      <c r="N133" s="29"/>
      <c r="O133" s="29"/>
      <c r="P133" s="29"/>
    </row>
    <row r="134" spans="2:16" hidden="1" x14ac:dyDescent="0.2">
      <c r="B134" s="29"/>
      <c r="C134" s="29"/>
      <c r="D134" s="29"/>
      <c r="E134" s="29"/>
      <c r="F134" s="29"/>
      <c r="G134" s="29"/>
      <c r="H134" s="29"/>
      <c r="I134" s="29"/>
      <c r="J134" s="29"/>
      <c r="K134" s="29"/>
      <c r="L134" s="29"/>
      <c r="M134" s="29"/>
      <c r="N134" s="29"/>
      <c r="O134" s="29"/>
      <c r="P134" s="29"/>
    </row>
    <row r="135" spans="2:16" hidden="1" x14ac:dyDescent="0.2">
      <c r="B135" s="29"/>
      <c r="C135" s="29"/>
      <c r="D135" s="29"/>
      <c r="E135" s="29"/>
      <c r="F135" s="29"/>
      <c r="G135" s="29"/>
      <c r="H135" s="29"/>
      <c r="I135" s="29"/>
      <c r="J135" s="29"/>
      <c r="K135" s="29"/>
      <c r="L135" s="29"/>
      <c r="M135" s="29"/>
      <c r="N135" s="29"/>
      <c r="O135" s="29"/>
      <c r="P135" s="29"/>
    </row>
    <row r="136" spans="2:16" hidden="1" x14ac:dyDescent="0.2">
      <c r="B136" s="29"/>
      <c r="C136" s="29"/>
      <c r="D136" s="29"/>
      <c r="E136" s="29"/>
      <c r="F136" s="29"/>
      <c r="G136" s="29"/>
      <c r="H136" s="29"/>
      <c r="I136" s="29"/>
      <c r="J136" s="29"/>
      <c r="K136" s="29"/>
      <c r="L136" s="29"/>
      <c r="M136" s="29"/>
      <c r="N136" s="29"/>
      <c r="O136" s="29"/>
      <c r="P136" s="29"/>
    </row>
    <row r="137" spans="2:16" hidden="1" x14ac:dyDescent="0.2">
      <c r="B137" s="29"/>
      <c r="C137" s="29"/>
      <c r="D137" s="29"/>
      <c r="E137" s="29"/>
      <c r="F137" s="29"/>
      <c r="G137" s="29"/>
      <c r="H137" s="29"/>
      <c r="I137" s="29"/>
      <c r="J137" s="29"/>
      <c r="K137" s="29"/>
      <c r="L137" s="29"/>
      <c r="M137" s="29"/>
      <c r="N137" s="29"/>
      <c r="O137" s="29"/>
      <c r="P137" s="29"/>
    </row>
    <row r="138" spans="2:16" hidden="1" x14ac:dyDescent="0.2">
      <c r="B138" s="29"/>
      <c r="C138" s="29"/>
      <c r="D138" s="29"/>
      <c r="E138" s="29"/>
      <c r="F138" s="29"/>
      <c r="G138" s="29"/>
      <c r="H138" s="29"/>
      <c r="I138" s="29"/>
      <c r="J138" s="29"/>
      <c r="K138" s="29"/>
      <c r="L138" s="29"/>
      <c r="M138" s="29"/>
      <c r="N138" s="29"/>
      <c r="O138" s="29"/>
      <c r="P138" s="29"/>
    </row>
    <row r="139" spans="2:16" hidden="1" x14ac:dyDescent="0.2">
      <c r="B139" s="29"/>
      <c r="C139" s="29"/>
      <c r="D139" s="29"/>
      <c r="E139" s="29"/>
      <c r="F139" s="29"/>
      <c r="G139" s="29"/>
      <c r="H139" s="29"/>
      <c r="I139" s="29"/>
      <c r="J139" s="29"/>
      <c r="K139" s="29"/>
      <c r="L139" s="29"/>
      <c r="M139" s="29"/>
      <c r="N139" s="29"/>
      <c r="O139" s="29"/>
      <c r="P139" s="29"/>
    </row>
    <row r="140" spans="2:16" hidden="1" x14ac:dyDescent="0.2">
      <c r="B140" s="29"/>
      <c r="C140" s="29"/>
      <c r="D140" s="29"/>
      <c r="E140" s="29"/>
      <c r="F140" s="29"/>
      <c r="G140" s="29"/>
      <c r="H140" s="29"/>
      <c r="I140" s="29"/>
      <c r="J140" s="29"/>
      <c r="K140" s="29"/>
      <c r="L140" s="29"/>
      <c r="M140" s="29"/>
      <c r="N140" s="29"/>
      <c r="O140" s="29"/>
      <c r="P140" s="29"/>
    </row>
    <row r="141" spans="2:16" hidden="1" x14ac:dyDescent="0.2">
      <c r="B141" s="29"/>
      <c r="C141" s="29"/>
      <c r="D141" s="29"/>
      <c r="E141" s="29"/>
      <c r="F141" s="29"/>
      <c r="G141" s="29"/>
      <c r="H141" s="29"/>
      <c r="I141" s="29"/>
      <c r="J141" s="29"/>
      <c r="K141" s="29"/>
      <c r="L141" s="29"/>
      <c r="M141" s="29"/>
      <c r="N141" s="29"/>
      <c r="O141" s="29"/>
      <c r="P141" s="29"/>
    </row>
    <row r="142" spans="2:16" hidden="1" x14ac:dyDescent="0.2">
      <c r="B142" s="29"/>
      <c r="C142" s="29"/>
      <c r="D142" s="29"/>
      <c r="E142" s="29"/>
      <c r="F142" s="29"/>
      <c r="G142" s="29"/>
      <c r="H142" s="29"/>
      <c r="I142" s="29"/>
      <c r="J142" s="29"/>
      <c r="K142" s="29"/>
      <c r="L142" s="29"/>
      <c r="M142" s="29"/>
      <c r="N142" s="29"/>
      <c r="O142" s="29"/>
      <c r="P142" s="29"/>
    </row>
    <row r="143" spans="2:16" hidden="1" x14ac:dyDescent="0.2">
      <c r="B143" s="29"/>
      <c r="C143" s="29"/>
      <c r="D143" s="29"/>
      <c r="E143" s="29"/>
      <c r="F143" s="29"/>
      <c r="G143" s="29"/>
      <c r="H143" s="29"/>
      <c r="I143" s="29"/>
      <c r="J143" s="29"/>
      <c r="K143" s="29"/>
      <c r="L143" s="29"/>
      <c r="M143" s="29"/>
      <c r="N143" s="29"/>
      <c r="O143" s="29"/>
      <c r="P143" s="29"/>
    </row>
    <row r="144" spans="2:16" hidden="1" x14ac:dyDescent="0.2">
      <c r="B144" s="29"/>
      <c r="C144" s="29"/>
      <c r="D144" s="29"/>
      <c r="E144" s="29"/>
      <c r="F144" s="29"/>
      <c r="G144" s="29"/>
      <c r="H144" s="29"/>
      <c r="I144" s="29"/>
      <c r="J144" s="29"/>
      <c r="K144" s="29"/>
      <c r="L144" s="29"/>
      <c r="M144" s="29"/>
      <c r="N144" s="29"/>
      <c r="O144" s="29"/>
      <c r="P144" s="29"/>
    </row>
    <row r="145" spans="2:16" hidden="1" x14ac:dyDescent="0.2">
      <c r="B145" s="29"/>
      <c r="C145" s="29"/>
      <c r="D145" s="29"/>
      <c r="E145" s="29"/>
      <c r="F145" s="29"/>
      <c r="G145" s="29"/>
      <c r="H145" s="29"/>
      <c r="I145" s="29"/>
      <c r="J145" s="29"/>
      <c r="K145" s="29"/>
      <c r="L145" s="29"/>
      <c r="M145" s="29"/>
      <c r="N145" s="29"/>
      <c r="O145" s="29"/>
      <c r="P145" s="29"/>
    </row>
    <row r="146" spans="2:16" hidden="1" x14ac:dyDescent="0.2">
      <c r="B146" s="29"/>
      <c r="C146" s="29"/>
      <c r="D146" s="29"/>
      <c r="E146" s="29"/>
      <c r="F146" s="29"/>
      <c r="G146" s="29"/>
      <c r="H146" s="29"/>
      <c r="I146" s="29"/>
      <c r="J146" s="29"/>
      <c r="K146" s="29"/>
      <c r="L146" s="29"/>
      <c r="M146" s="29"/>
      <c r="N146" s="29"/>
      <c r="O146" s="29"/>
      <c r="P146" s="29"/>
    </row>
    <row r="147" spans="2:16" hidden="1" x14ac:dyDescent="0.2">
      <c r="B147" s="29"/>
      <c r="C147" s="29"/>
      <c r="D147" s="29"/>
      <c r="E147" s="29"/>
      <c r="F147" s="29"/>
      <c r="G147" s="29"/>
      <c r="H147" s="29"/>
      <c r="I147" s="29"/>
      <c r="J147" s="29"/>
      <c r="K147" s="29"/>
      <c r="L147" s="29"/>
      <c r="M147" s="29"/>
      <c r="N147" s="29"/>
      <c r="O147" s="29"/>
      <c r="P147" s="29"/>
    </row>
    <row r="148" spans="2:16" hidden="1" x14ac:dyDescent="0.2">
      <c r="B148" s="29"/>
      <c r="C148" s="29"/>
      <c r="D148" s="29"/>
      <c r="E148" s="29"/>
      <c r="F148" s="29"/>
      <c r="G148" s="29"/>
      <c r="H148" s="29"/>
      <c r="I148" s="29"/>
      <c r="J148" s="29"/>
      <c r="K148" s="29"/>
      <c r="L148" s="29"/>
      <c r="M148" s="29"/>
      <c r="N148" s="29"/>
      <c r="O148" s="29"/>
      <c r="P148" s="29"/>
    </row>
    <row r="149" spans="2:16" hidden="1" x14ac:dyDescent="0.2">
      <c r="B149" s="29"/>
      <c r="C149" s="29"/>
      <c r="D149" s="29"/>
      <c r="E149" s="29"/>
      <c r="F149" s="29"/>
      <c r="G149" s="29"/>
      <c r="H149" s="29"/>
      <c r="I149" s="29"/>
      <c r="J149" s="29"/>
      <c r="K149" s="29"/>
      <c r="L149" s="29"/>
      <c r="M149" s="29"/>
      <c r="N149" s="29"/>
      <c r="O149" s="29"/>
      <c r="P149" s="29"/>
    </row>
    <row r="150" spans="2:16" hidden="1" x14ac:dyDescent="0.2">
      <c r="B150" s="29"/>
      <c r="C150" s="29"/>
      <c r="D150" s="29"/>
      <c r="E150" s="29"/>
      <c r="F150" s="29"/>
      <c r="G150" s="29"/>
      <c r="H150" s="29"/>
      <c r="I150" s="29"/>
      <c r="J150" s="29"/>
      <c r="K150" s="29"/>
      <c r="L150" s="29"/>
      <c r="M150" s="29"/>
      <c r="N150" s="29"/>
      <c r="O150" s="29"/>
      <c r="P150" s="29"/>
    </row>
    <row r="151" spans="2:16" hidden="1" x14ac:dyDescent="0.2">
      <c r="B151" s="29"/>
      <c r="C151" s="29"/>
      <c r="D151" s="29"/>
      <c r="E151" s="29"/>
      <c r="F151" s="29"/>
      <c r="G151" s="29"/>
      <c r="H151" s="29"/>
      <c r="I151" s="29"/>
      <c r="J151" s="29"/>
      <c r="K151" s="29"/>
      <c r="L151" s="29"/>
      <c r="M151" s="29"/>
      <c r="N151" s="29"/>
      <c r="O151" s="29"/>
      <c r="P151" s="29"/>
    </row>
    <row r="152" spans="2:16" hidden="1" x14ac:dyDescent="0.2">
      <c r="B152" s="29"/>
      <c r="C152" s="29"/>
      <c r="D152" s="29"/>
      <c r="E152" s="29"/>
      <c r="F152" s="29"/>
      <c r="G152" s="29"/>
      <c r="H152" s="29"/>
      <c r="I152" s="29"/>
      <c r="J152" s="29"/>
      <c r="K152" s="29"/>
      <c r="L152" s="29"/>
      <c r="M152" s="29"/>
      <c r="N152" s="29"/>
      <c r="O152" s="29"/>
      <c r="P152" s="29"/>
    </row>
    <row r="153" spans="2:16" hidden="1" x14ac:dyDescent="0.2">
      <c r="B153" s="29"/>
      <c r="C153" s="29"/>
      <c r="D153" s="29"/>
      <c r="E153" s="29"/>
      <c r="F153" s="29"/>
      <c r="G153" s="29"/>
      <c r="H153" s="29"/>
      <c r="I153" s="29"/>
      <c r="J153" s="29"/>
      <c r="K153" s="29"/>
      <c r="L153" s="29"/>
      <c r="M153" s="29"/>
      <c r="N153" s="29"/>
      <c r="O153" s="29"/>
      <c r="P153" s="29"/>
    </row>
    <row r="154" spans="2:16" hidden="1" x14ac:dyDescent="0.2">
      <c r="B154" s="29"/>
      <c r="C154" s="29"/>
      <c r="D154" s="29"/>
      <c r="E154" s="29"/>
      <c r="F154" s="29"/>
      <c r="G154" s="29"/>
      <c r="H154" s="29"/>
      <c r="I154" s="29"/>
      <c r="J154" s="29"/>
      <c r="K154" s="29"/>
      <c r="L154" s="29"/>
      <c r="M154" s="29"/>
      <c r="N154" s="29"/>
      <c r="O154" s="29"/>
      <c r="P154" s="29"/>
    </row>
    <row r="155" spans="2:16" hidden="1" x14ac:dyDescent="0.2">
      <c r="B155" s="29"/>
      <c r="C155" s="29"/>
      <c r="D155" s="29"/>
      <c r="E155" s="29"/>
      <c r="F155" s="29"/>
      <c r="G155" s="29"/>
      <c r="H155" s="29"/>
      <c r="I155" s="29"/>
      <c r="J155" s="29"/>
      <c r="K155" s="29"/>
      <c r="L155" s="29"/>
      <c r="M155" s="29"/>
      <c r="N155" s="29"/>
      <c r="O155" s="29"/>
      <c r="P155" s="29"/>
    </row>
    <row r="156" spans="2:16" hidden="1" x14ac:dyDescent="0.2">
      <c r="B156" s="29"/>
      <c r="C156" s="29"/>
      <c r="D156" s="29"/>
      <c r="E156" s="29"/>
      <c r="F156" s="29"/>
      <c r="G156" s="29"/>
      <c r="H156" s="29"/>
      <c r="I156" s="29"/>
      <c r="J156" s="29"/>
      <c r="K156" s="29"/>
      <c r="L156" s="29"/>
      <c r="M156" s="29"/>
      <c r="N156" s="29"/>
      <c r="O156" s="29"/>
      <c r="P156" s="29"/>
    </row>
    <row r="157" spans="2:16" hidden="1" x14ac:dyDescent="0.2">
      <c r="B157" s="29"/>
      <c r="C157" s="29"/>
      <c r="D157" s="29"/>
      <c r="E157" s="29"/>
      <c r="F157" s="29"/>
      <c r="G157" s="29"/>
      <c r="H157" s="29"/>
      <c r="I157" s="29"/>
      <c r="J157" s="29"/>
      <c r="K157" s="29"/>
      <c r="L157" s="29"/>
      <c r="M157" s="29"/>
      <c r="N157" s="29"/>
      <c r="O157" s="29"/>
      <c r="P157" s="29"/>
    </row>
    <row r="158" spans="2:16" hidden="1" x14ac:dyDescent="0.2">
      <c r="B158" s="29"/>
      <c r="C158" s="29"/>
      <c r="D158" s="29"/>
      <c r="E158" s="29"/>
      <c r="F158" s="29"/>
      <c r="G158" s="29"/>
      <c r="H158" s="29"/>
      <c r="I158" s="29"/>
      <c r="J158" s="29"/>
      <c r="K158" s="29"/>
      <c r="L158" s="29"/>
      <c r="M158" s="29"/>
      <c r="N158" s="29"/>
      <c r="O158" s="29"/>
      <c r="P158" s="29"/>
    </row>
    <row r="159" spans="2:16" hidden="1" x14ac:dyDescent="0.2">
      <c r="B159" s="29"/>
      <c r="C159" s="29"/>
      <c r="D159" s="29"/>
      <c r="E159" s="29"/>
      <c r="F159" s="29"/>
      <c r="G159" s="29"/>
      <c r="H159" s="29"/>
      <c r="I159" s="29"/>
      <c r="J159" s="29"/>
      <c r="K159" s="29"/>
      <c r="L159" s="29"/>
      <c r="M159" s="29"/>
      <c r="N159" s="29"/>
      <c r="O159" s="29"/>
      <c r="P159" s="29"/>
    </row>
    <row r="160" spans="2:16" hidden="1" x14ac:dyDescent="0.2">
      <c r="B160" s="29"/>
      <c r="C160" s="29"/>
      <c r="D160" s="29"/>
      <c r="E160" s="29"/>
      <c r="F160" s="29"/>
      <c r="G160" s="29"/>
      <c r="H160" s="29"/>
      <c r="I160" s="29"/>
      <c r="J160" s="29"/>
      <c r="K160" s="29"/>
      <c r="L160" s="29"/>
      <c r="M160" s="29"/>
      <c r="N160" s="29"/>
      <c r="O160" s="29"/>
      <c r="P160" s="29"/>
    </row>
    <row r="161" spans="2:16" hidden="1" x14ac:dyDescent="0.2">
      <c r="B161" s="29"/>
      <c r="C161" s="29"/>
      <c r="D161" s="29"/>
      <c r="E161" s="29"/>
      <c r="F161" s="29"/>
      <c r="G161" s="29"/>
      <c r="H161" s="29"/>
      <c r="I161" s="29"/>
      <c r="J161" s="29"/>
      <c r="K161" s="29"/>
      <c r="L161" s="29"/>
      <c r="M161" s="29"/>
      <c r="N161" s="29"/>
      <c r="O161" s="29"/>
      <c r="P161" s="29"/>
    </row>
    <row r="162" spans="2:16" hidden="1" x14ac:dyDescent="0.2">
      <c r="B162" s="29"/>
      <c r="C162" s="29"/>
      <c r="D162" s="29"/>
      <c r="E162" s="29"/>
      <c r="F162" s="29"/>
      <c r="G162" s="29"/>
      <c r="H162" s="29"/>
      <c r="I162" s="29"/>
      <c r="J162" s="29"/>
      <c r="K162" s="29"/>
      <c r="L162" s="29"/>
      <c r="M162" s="29"/>
      <c r="N162" s="29"/>
      <c r="O162" s="29"/>
      <c r="P162" s="29"/>
    </row>
    <row r="163" spans="2:16" hidden="1" x14ac:dyDescent="0.2">
      <c r="B163" s="29"/>
      <c r="C163" s="29"/>
      <c r="D163" s="29"/>
      <c r="E163" s="29"/>
      <c r="F163" s="29"/>
      <c r="G163" s="29"/>
      <c r="H163" s="29"/>
      <c r="I163" s="29"/>
      <c r="J163" s="29"/>
      <c r="K163" s="29"/>
      <c r="L163" s="29"/>
      <c r="M163" s="29"/>
      <c r="N163" s="29"/>
      <c r="O163" s="29"/>
      <c r="P163" s="29"/>
    </row>
    <row r="164" spans="2:16" hidden="1" x14ac:dyDescent="0.2">
      <c r="B164" s="29"/>
      <c r="C164" s="29"/>
      <c r="D164" s="29"/>
      <c r="E164" s="29"/>
      <c r="F164" s="29"/>
      <c r="G164" s="29"/>
      <c r="H164" s="29"/>
      <c r="I164" s="29"/>
      <c r="J164" s="29"/>
      <c r="K164" s="29"/>
      <c r="L164" s="29"/>
      <c r="M164" s="29"/>
      <c r="N164" s="29"/>
      <c r="O164" s="29"/>
      <c r="P164" s="29"/>
    </row>
    <row r="165" spans="2:16" hidden="1" x14ac:dyDescent="0.2">
      <c r="B165" s="29"/>
      <c r="C165" s="29"/>
      <c r="D165" s="29"/>
      <c r="E165" s="29"/>
      <c r="F165" s="29"/>
      <c r="G165" s="29"/>
      <c r="H165" s="29"/>
      <c r="I165" s="29"/>
      <c r="J165" s="29"/>
      <c r="K165" s="29"/>
      <c r="L165" s="29"/>
      <c r="M165" s="29"/>
      <c r="N165" s="29"/>
      <c r="O165" s="29"/>
      <c r="P165" s="29"/>
    </row>
    <row r="166" spans="2:16" hidden="1" x14ac:dyDescent="0.2">
      <c r="B166" s="29"/>
      <c r="C166" s="29"/>
      <c r="D166" s="29"/>
      <c r="E166" s="29"/>
      <c r="F166" s="29"/>
      <c r="G166" s="29"/>
      <c r="H166" s="29"/>
      <c r="I166" s="29"/>
      <c r="J166" s="29"/>
      <c r="K166" s="29"/>
      <c r="L166" s="29"/>
      <c r="M166" s="29"/>
      <c r="N166" s="29"/>
      <c r="O166" s="29"/>
      <c r="P166" s="29"/>
    </row>
    <row r="167" spans="2:16" hidden="1" x14ac:dyDescent="0.2">
      <c r="B167" s="29"/>
      <c r="C167" s="29"/>
      <c r="D167" s="29"/>
      <c r="E167" s="29"/>
      <c r="F167" s="29"/>
      <c r="G167" s="29"/>
      <c r="H167" s="29"/>
      <c r="I167" s="29"/>
      <c r="J167" s="29"/>
      <c r="K167" s="29"/>
      <c r="L167" s="29"/>
      <c r="M167" s="29"/>
      <c r="N167" s="29"/>
      <c r="O167" s="29"/>
      <c r="P167" s="29"/>
    </row>
    <row r="168" spans="2:16" hidden="1" x14ac:dyDescent="0.2">
      <c r="B168" s="29"/>
      <c r="C168" s="29"/>
      <c r="D168" s="29"/>
      <c r="E168" s="29"/>
      <c r="F168" s="29"/>
      <c r="G168" s="29"/>
      <c r="H168" s="29"/>
      <c r="I168" s="29"/>
      <c r="J168" s="29"/>
      <c r="K168" s="29"/>
      <c r="L168" s="29"/>
      <c r="M168" s="29"/>
      <c r="N168" s="29"/>
      <c r="O168" s="29"/>
      <c r="P168" s="29"/>
    </row>
    <row r="169" spans="2:16" hidden="1" x14ac:dyDescent="0.2">
      <c r="B169" s="29"/>
      <c r="C169" s="29"/>
      <c r="D169" s="29"/>
      <c r="E169" s="29"/>
      <c r="F169" s="29"/>
      <c r="G169" s="29"/>
      <c r="H169" s="29"/>
      <c r="I169" s="29"/>
      <c r="J169" s="29"/>
      <c r="K169" s="29"/>
      <c r="L169" s="29"/>
      <c r="M169" s="29"/>
      <c r="N169" s="29"/>
      <c r="O169" s="29"/>
      <c r="P169" s="29"/>
    </row>
    <row r="170" spans="2:16" x14ac:dyDescent="0.2"/>
  </sheetData>
  <pageMargins left="0.7" right="0.7" top="0.78740157499999996" bottom="0.78740157499999996" header="0.3" footer="0.3"/>
  <pageSetup paperSize="9" scale="8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Inventar">
    <tabColor theme="1" tint="0.249977111117893"/>
  </sheetPr>
  <dimension ref="B1:N148"/>
  <sheetViews>
    <sheetView showGridLines="0" topLeftCell="A17" zoomScale="160" zoomScaleNormal="160" workbookViewId="0">
      <selection activeCell="C45" sqref="C45"/>
    </sheetView>
  </sheetViews>
  <sheetFormatPr baseColWidth="10" defaultColWidth="11.42578125" defaultRowHeight="15" zeroHeight="1" x14ac:dyDescent="0.25"/>
  <cols>
    <col min="1" max="1" width="4.42578125" customWidth="1"/>
    <col min="2" max="2" width="6.42578125" style="96" bestFit="1" customWidth="1"/>
    <col min="3" max="3" width="40.42578125" customWidth="1"/>
    <col min="4" max="4" width="30.7109375" customWidth="1"/>
    <col min="5" max="5" width="40.7109375" customWidth="1"/>
  </cols>
  <sheetData>
    <row r="1" spans="2:14" ht="44.25" customHeight="1" x14ac:dyDescent="0.35">
      <c r="B1" s="183" t="s">
        <v>148</v>
      </c>
      <c r="C1" s="183"/>
      <c r="D1" s="108"/>
      <c r="E1" s="102" t="s">
        <v>208</v>
      </c>
      <c r="F1" s="68"/>
      <c r="G1" s="68"/>
      <c r="H1" s="68"/>
      <c r="I1" s="68"/>
      <c r="J1" s="68"/>
      <c r="K1" s="68"/>
      <c r="L1" s="68"/>
      <c r="M1" s="44"/>
      <c r="N1" s="44"/>
    </row>
    <row r="2" spans="2:14" ht="15" customHeight="1" x14ac:dyDescent="0.35">
      <c r="C2" s="68"/>
      <c r="D2" s="68"/>
      <c r="F2" s="68"/>
      <c r="G2" s="68"/>
      <c r="H2" s="68"/>
      <c r="I2" s="68"/>
      <c r="J2" s="68"/>
      <c r="K2" s="68"/>
      <c r="L2" s="68"/>
      <c r="M2" s="44"/>
      <c r="N2" s="44"/>
    </row>
    <row r="3" spans="2:14" ht="28.5" customHeight="1" x14ac:dyDescent="0.25">
      <c r="B3" s="97" t="s">
        <v>17</v>
      </c>
      <c r="C3" s="69" t="s">
        <v>149</v>
      </c>
      <c r="D3" s="69" t="s">
        <v>150</v>
      </c>
      <c r="E3" s="69" t="s">
        <v>204</v>
      </c>
    </row>
    <row r="4" spans="2:14" x14ac:dyDescent="0.25">
      <c r="B4" s="107" t="s">
        <v>300</v>
      </c>
      <c r="C4" s="24" t="s">
        <v>266</v>
      </c>
      <c r="D4" s="24"/>
      <c r="E4" s="24"/>
    </row>
    <row r="5" spans="2:14" x14ac:dyDescent="0.25">
      <c r="B5" s="107" t="s">
        <v>301</v>
      </c>
      <c r="C5" s="24" t="s">
        <v>267</v>
      </c>
      <c r="D5" s="24"/>
      <c r="E5" s="24"/>
    </row>
    <row r="6" spans="2:14" x14ac:dyDescent="0.25">
      <c r="B6" s="107" t="s">
        <v>302</v>
      </c>
      <c r="C6" s="24" t="s">
        <v>268</v>
      </c>
      <c r="D6" s="24"/>
      <c r="E6" s="24"/>
    </row>
    <row r="7" spans="2:14" x14ac:dyDescent="0.25">
      <c r="B7" s="107" t="s">
        <v>303</v>
      </c>
      <c r="C7" s="24" t="s">
        <v>269</v>
      </c>
      <c r="D7" s="24"/>
      <c r="E7" s="24"/>
    </row>
    <row r="8" spans="2:14" x14ac:dyDescent="0.25">
      <c r="B8" s="107" t="s">
        <v>304</v>
      </c>
      <c r="C8" s="24" t="s">
        <v>270</v>
      </c>
      <c r="D8" s="24"/>
      <c r="E8" s="24"/>
    </row>
    <row r="9" spans="2:14" x14ac:dyDescent="0.25">
      <c r="B9" s="107" t="s">
        <v>305</v>
      </c>
      <c r="C9" s="24" t="s">
        <v>271</v>
      </c>
      <c r="D9" s="24"/>
      <c r="E9" s="24"/>
    </row>
    <row r="10" spans="2:14" x14ac:dyDescent="0.25">
      <c r="B10" s="107" t="s">
        <v>306</v>
      </c>
      <c r="C10" s="24" t="s">
        <v>272</v>
      </c>
      <c r="D10" s="89"/>
      <c r="E10" s="89"/>
    </row>
    <row r="11" spans="2:14" x14ac:dyDescent="0.25">
      <c r="B11" s="107" t="s">
        <v>307</v>
      </c>
      <c r="C11" s="24" t="s">
        <v>273</v>
      </c>
      <c r="D11" s="24"/>
      <c r="E11" s="24"/>
    </row>
    <row r="12" spans="2:14" x14ac:dyDescent="0.25">
      <c r="B12" s="107" t="s">
        <v>308</v>
      </c>
      <c r="C12" s="24" t="s">
        <v>274</v>
      </c>
      <c r="D12" s="24"/>
      <c r="E12" s="24"/>
    </row>
    <row r="13" spans="2:14" x14ac:dyDescent="0.25">
      <c r="B13" s="107" t="s">
        <v>309</v>
      </c>
      <c r="C13" s="24" t="s">
        <v>203</v>
      </c>
      <c r="D13" s="24"/>
      <c r="E13" s="24"/>
    </row>
    <row r="14" spans="2:14" x14ac:dyDescent="0.25">
      <c r="B14" s="107" t="s">
        <v>310</v>
      </c>
      <c r="C14" s="24" t="s">
        <v>275</v>
      </c>
      <c r="D14" s="24"/>
      <c r="E14" s="24"/>
    </row>
    <row r="15" spans="2:14" x14ac:dyDescent="0.25">
      <c r="B15" s="107" t="s">
        <v>311</v>
      </c>
      <c r="C15" s="24" t="s">
        <v>276</v>
      </c>
      <c r="D15" s="89"/>
      <c r="E15" s="89"/>
    </row>
    <row r="16" spans="2:14" x14ac:dyDescent="0.25">
      <c r="B16" s="107" t="s">
        <v>312</v>
      </c>
      <c r="C16" s="24" t="s">
        <v>277</v>
      </c>
      <c r="D16" s="89"/>
      <c r="E16" s="89"/>
    </row>
    <row r="17" spans="2:5" x14ac:dyDescent="0.25">
      <c r="B17" s="107" t="s">
        <v>313</v>
      </c>
      <c r="C17" s="24" t="s">
        <v>352</v>
      </c>
      <c r="D17" s="89"/>
      <c r="E17" s="89"/>
    </row>
    <row r="18" spans="2:5" x14ac:dyDescent="0.25">
      <c r="B18" s="107" t="s">
        <v>313</v>
      </c>
      <c r="C18" s="24" t="s">
        <v>278</v>
      </c>
      <c r="D18" s="89"/>
      <c r="E18" s="89"/>
    </row>
    <row r="19" spans="2:5" x14ac:dyDescent="0.25">
      <c r="B19" s="107" t="s">
        <v>314</v>
      </c>
      <c r="C19" s="24" t="s">
        <v>279</v>
      </c>
      <c r="D19" s="24"/>
      <c r="E19" s="24"/>
    </row>
    <row r="20" spans="2:5" ht="30" x14ac:dyDescent="0.25">
      <c r="B20" s="107" t="s">
        <v>315</v>
      </c>
      <c r="C20" s="24" t="s">
        <v>280</v>
      </c>
      <c r="D20" s="24"/>
      <c r="E20" s="24"/>
    </row>
    <row r="21" spans="2:5" x14ac:dyDescent="0.25">
      <c r="B21" s="107" t="s">
        <v>316</v>
      </c>
      <c r="C21" s="24" t="s">
        <v>281</v>
      </c>
      <c r="D21" s="89"/>
      <c r="E21" s="89"/>
    </row>
    <row r="22" spans="2:5" x14ac:dyDescent="0.25">
      <c r="B22" s="107" t="s">
        <v>317</v>
      </c>
      <c r="C22" s="24" t="s">
        <v>282</v>
      </c>
      <c r="D22" s="89"/>
      <c r="E22" s="89"/>
    </row>
    <row r="23" spans="2:5" x14ac:dyDescent="0.25">
      <c r="B23" s="107" t="s">
        <v>318</v>
      </c>
      <c r="C23" s="24" t="s">
        <v>283</v>
      </c>
      <c r="D23" s="89"/>
      <c r="E23" s="89"/>
    </row>
    <row r="24" spans="2:5" x14ac:dyDescent="0.25">
      <c r="B24" s="107" t="s">
        <v>319</v>
      </c>
      <c r="C24" s="24" t="s">
        <v>284</v>
      </c>
      <c r="D24" s="89"/>
      <c r="E24" s="89"/>
    </row>
    <row r="25" spans="2:5" x14ac:dyDescent="0.25">
      <c r="B25" s="107" t="s">
        <v>320</v>
      </c>
      <c r="C25" s="24" t="s">
        <v>285</v>
      </c>
      <c r="D25" s="89"/>
      <c r="E25" s="89"/>
    </row>
    <row r="26" spans="2:5" x14ac:dyDescent="0.25">
      <c r="B26" s="107" t="s">
        <v>321</v>
      </c>
      <c r="C26" s="24" t="s">
        <v>286</v>
      </c>
      <c r="D26" s="89"/>
      <c r="E26" s="89"/>
    </row>
    <row r="27" spans="2:5" x14ac:dyDescent="0.25">
      <c r="B27" s="107" t="s">
        <v>322</v>
      </c>
      <c r="C27" s="24" t="s">
        <v>287</v>
      </c>
      <c r="D27" s="89"/>
      <c r="E27" s="89"/>
    </row>
    <row r="28" spans="2:5" x14ac:dyDescent="0.25">
      <c r="B28" s="107" t="s">
        <v>323</v>
      </c>
      <c r="C28" s="24" t="s">
        <v>288</v>
      </c>
      <c r="D28" s="89"/>
      <c r="E28" s="89"/>
    </row>
    <row r="29" spans="2:5" x14ac:dyDescent="0.25">
      <c r="B29" s="107" t="s">
        <v>324</v>
      </c>
      <c r="C29" s="24" t="s">
        <v>289</v>
      </c>
      <c r="D29" s="24"/>
      <c r="E29" s="24"/>
    </row>
    <row r="30" spans="2:5" x14ac:dyDescent="0.25">
      <c r="B30" s="107" t="s">
        <v>325</v>
      </c>
      <c r="C30" s="24" t="s">
        <v>290</v>
      </c>
      <c r="D30" s="24"/>
      <c r="E30" s="24"/>
    </row>
    <row r="31" spans="2:5" x14ac:dyDescent="0.25">
      <c r="B31" s="107" t="s">
        <v>326</v>
      </c>
      <c r="C31" s="24" t="s">
        <v>291</v>
      </c>
      <c r="D31" s="24"/>
      <c r="E31" s="24"/>
    </row>
    <row r="32" spans="2:5" x14ac:dyDescent="0.25">
      <c r="B32" s="107" t="s">
        <v>327</v>
      </c>
      <c r="C32" s="24" t="s">
        <v>292</v>
      </c>
      <c r="D32" s="89"/>
      <c r="E32" s="89"/>
    </row>
    <row r="33" spans="2:5" x14ac:dyDescent="0.25">
      <c r="B33" s="107" t="s">
        <v>328</v>
      </c>
      <c r="C33" s="24" t="s">
        <v>293</v>
      </c>
      <c r="D33" s="89"/>
      <c r="E33" s="89"/>
    </row>
    <row r="34" spans="2:5" x14ac:dyDescent="0.25">
      <c r="B34" s="107" t="s">
        <v>329</v>
      </c>
      <c r="C34" s="24" t="s">
        <v>294</v>
      </c>
      <c r="D34" s="24"/>
      <c r="E34" s="24"/>
    </row>
    <row r="35" spans="2:5" x14ac:dyDescent="0.25">
      <c r="B35" s="107" t="s">
        <v>330</v>
      </c>
      <c r="C35" s="24" t="s">
        <v>295</v>
      </c>
      <c r="D35" s="24"/>
      <c r="E35" s="24"/>
    </row>
    <row r="36" spans="2:5" x14ac:dyDescent="0.25">
      <c r="B36" s="107" t="s">
        <v>331</v>
      </c>
      <c r="C36" s="24" t="s">
        <v>296</v>
      </c>
      <c r="D36" s="24"/>
      <c r="E36" s="24"/>
    </row>
    <row r="37" spans="2:5" x14ac:dyDescent="0.25">
      <c r="B37" s="107" t="s">
        <v>332</v>
      </c>
      <c r="C37" s="24" t="s">
        <v>297</v>
      </c>
      <c r="D37" s="89"/>
      <c r="E37" s="89"/>
    </row>
    <row r="38" spans="2:5" x14ac:dyDescent="0.25">
      <c r="B38" s="107" t="s">
        <v>333</v>
      </c>
      <c r="C38" s="24" t="s">
        <v>298</v>
      </c>
      <c r="D38" s="24"/>
      <c r="E38" s="24"/>
    </row>
    <row r="39" spans="2:5" x14ac:dyDescent="0.25">
      <c r="B39" s="107" t="s">
        <v>334</v>
      </c>
      <c r="C39" s="24" t="s">
        <v>299</v>
      </c>
      <c r="D39" s="24"/>
      <c r="E39" s="24"/>
    </row>
    <row r="40" spans="2:5" x14ac:dyDescent="0.25">
      <c r="B40" s="107" t="s">
        <v>347</v>
      </c>
      <c r="C40" s="24" t="s">
        <v>351</v>
      </c>
      <c r="D40" s="24"/>
      <c r="E40" s="24"/>
    </row>
    <row r="41" spans="2:5" x14ac:dyDescent="0.25">
      <c r="B41" s="107" t="s">
        <v>348</v>
      </c>
      <c r="C41" s="24" t="s">
        <v>186</v>
      </c>
      <c r="D41" s="90"/>
      <c r="E41" s="24"/>
    </row>
    <row r="42" spans="2:5" x14ac:dyDescent="0.25">
      <c r="B42" s="107" t="s">
        <v>349</v>
      </c>
      <c r="C42" s="24" t="s">
        <v>350</v>
      </c>
      <c r="D42" s="24"/>
      <c r="E42" s="24"/>
    </row>
    <row r="43" spans="2:5" x14ac:dyDescent="0.25">
      <c r="B43" s="98" t="s">
        <v>368</v>
      </c>
      <c r="C43" s="24" t="s">
        <v>369</v>
      </c>
      <c r="D43" s="89"/>
      <c r="E43" s="89"/>
    </row>
    <row r="44" spans="2:5" x14ac:dyDescent="0.25">
      <c r="B44" s="98" t="s">
        <v>370</v>
      </c>
      <c r="C44" s="24" t="s">
        <v>371</v>
      </c>
      <c r="D44" s="24"/>
      <c r="E44" s="24"/>
    </row>
    <row r="45" spans="2:5" x14ac:dyDescent="0.25">
      <c r="B45" s="98"/>
      <c r="C45" s="24"/>
      <c r="D45" s="24"/>
      <c r="E45" s="24"/>
    </row>
    <row r="46" spans="2:5" x14ac:dyDescent="0.25">
      <c r="B46" s="98"/>
      <c r="C46" s="24"/>
      <c r="D46" s="89"/>
      <c r="E46" s="89"/>
    </row>
    <row r="47" spans="2:5" x14ac:dyDescent="0.25">
      <c r="B47" s="98"/>
      <c r="C47" s="24"/>
      <c r="D47" s="24"/>
      <c r="E47" s="24"/>
    </row>
    <row r="48" spans="2:5" x14ac:dyDescent="0.25">
      <c r="B48" s="98"/>
      <c r="C48" s="24"/>
      <c r="D48" s="89"/>
      <c r="E48" s="89"/>
    </row>
    <row r="49" spans="2:5" x14ac:dyDescent="0.25">
      <c r="B49" s="98"/>
      <c r="C49" s="24"/>
      <c r="D49" s="24"/>
      <c r="E49" s="24"/>
    </row>
    <row r="50" spans="2:5" x14ac:dyDescent="0.25">
      <c r="B50" s="98"/>
      <c r="C50" s="24"/>
      <c r="D50" s="89"/>
      <c r="E50" s="89"/>
    </row>
    <row r="51" spans="2:5" x14ac:dyDescent="0.25">
      <c r="B51" s="98"/>
      <c r="C51" s="24"/>
      <c r="D51" s="89"/>
      <c r="E51" s="89"/>
    </row>
    <row r="52" spans="2:5" x14ac:dyDescent="0.25">
      <c r="B52" s="98"/>
      <c r="C52" s="24"/>
      <c r="D52" s="89"/>
      <c r="E52" s="89"/>
    </row>
    <row r="53" spans="2:5" x14ac:dyDescent="0.25">
      <c r="B53" s="98"/>
      <c r="C53" s="24"/>
      <c r="D53" s="24"/>
      <c r="E53" s="24"/>
    </row>
    <row r="54" spans="2:5" x14ac:dyDescent="0.25">
      <c r="B54" s="98"/>
      <c r="C54" s="24"/>
      <c r="D54" s="24"/>
      <c r="E54" s="24"/>
    </row>
    <row r="55" spans="2:5" x14ac:dyDescent="0.25">
      <c r="B55" s="98"/>
      <c r="C55" s="24"/>
      <c r="D55" s="24"/>
      <c r="E55" s="24"/>
    </row>
    <row r="56" spans="2:5" x14ac:dyDescent="0.25">
      <c r="B56" s="98"/>
      <c r="C56" s="24"/>
      <c r="D56" s="24"/>
      <c r="E56" s="24"/>
    </row>
    <row r="57" spans="2:5" x14ac:dyDescent="0.25">
      <c r="B57" s="98"/>
      <c r="C57" s="24"/>
      <c r="D57" s="24"/>
      <c r="E57" s="24"/>
    </row>
    <row r="58" spans="2:5" x14ac:dyDescent="0.25">
      <c r="B58" s="98"/>
      <c r="C58" s="24"/>
      <c r="D58" s="24"/>
      <c r="E58" s="24"/>
    </row>
    <row r="59" spans="2:5" x14ac:dyDescent="0.25">
      <c r="B59" s="98"/>
      <c r="C59" s="24"/>
      <c r="D59" s="24"/>
      <c r="E59" s="24"/>
    </row>
    <row r="60" spans="2:5" x14ac:dyDescent="0.25">
      <c r="B60" s="98"/>
      <c r="C60" s="24"/>
      <c r="D60" s="89"/>
      <c r="E60" s="89"/>
    </row>
    <row r="61" spans="2:5" x14ac:dyDescent="0.25">
      <c r="B61" s="98"/>
      <c r="C61" s="24"/>
      <c r="D61" s="89"/>
      <c r="E61" s="89"/>
    </row>
    <row r="62" spans="2:5" x14ac:dyDescent="0.25">
      <c r="B62" s="98"/>
      <c r="C62" s="24"/>
      <c r="D62" s="24"/>
      <c r="E62" s="24"/>
    </row>
    <row r="63" spans="2:5" x14ac:dyDescent="0.25">
      <c r="B63" s="98"/>
      <c r="C63" s="24"/>
      <c r="D63" s="24"/>
      <c r="E63" s="24"/>
    </row>
    <row r="64" spans="2:5" x14ac:dyDescent="0.25">
      <c r="B64" s="98"/>
      <c r="C64" s="24"/>
      <c r="D64" s="24"/>
      <c r="E64" s="24"/>
    </row>
    <row r="65" spans="2:5" x14ac:dyDescent="0.25">
      <c r="B65" s="98"/>
      <c r="C65" s="24"/>
      <c r="D65" s="24"/>
      <c r="E65" s="24"/>
    </row>
    <row r="66" spans="2:5" x14ac:dyDescent="0.25">
      <c r="B66" s="98"/>
      <c r="C66" s="24"/>
      <c r="D66" s="24"/>
      <c r="E66" s="24"/>
    </row>
    <row r="67" spans="2:5" x14ac:dyDescent="0.25">
      <c r="B67" s="98"/>
      <c r="C67" s="24"/>
      <c r="D67" s="89"/>
      <c r="E67" s="89"/>
    </row>
    <row r="68" spans="2:5" x14ac:dyDescent="0.25">
      <c r="B68" s="98"/>
      <c r="C68" s="24"/>
      <c r="D68" s="24"/>
      <c r="E68" s="24"/>
    </row>
    <row r="69" spans="2:5" x14ac:dyDescent="0.25">
      <c r="B69" s="98"/>
      <c r="C69" s="24"/>
      <c r="D69" s="24"/>
      <c r="E69" s="24"/>
    </row>
    <row r="70" spans="2:5" x14ac:dyDescent="0.25">
      <c r="B70" s="98"/>
      <c r="C70" s="24"/>
      <c r="D70" s="24"/>
      <c r="E70" s="24"/>
    </row>
    <row r="71" spans="2:5" x14ac:dyDescent="0.25">
      <c r="B71" s="98"/>
      <c r="C71" s="24"/>
      <c r="D71" s="24"/>
      <c r="E71" s="24"/>
    </row>
    <row r="72" spans="2:5" x14ac:dyDescent="0.25">
      <c r="B72" s="98"/>
      <c r="C72" s="24"/>
      <c r="D72" s="24"/>
      <c r="E72" s="24"/>
    </row>
    <row r="73" spans="2:5" x14ac:dyDescent="0.25">
      <c r="B73" s="98"/>
      <c r="C73" s="24"/>
      <c r="D73" s="24"/>
      <c r="E73" s="24"/>
    </row>
    <row r="74" spans="2:5" x14ac:dyDescent="0.25">
      <c r="B74" s="98"/>
      <c r="C74" s="24"/>
      <c r="D74" s="24"/>
      <c r="E74" s="24"/>
    </row>
    <row r="75" spans="2:5" x14ac:dyDescent="0.25">
      <c r="B75" s="98"/>
      <c r="C75" s="24"/>
      <c r="D75" s="24"/>
      <c r="E75" s="24"/>
    </row>
    <row r="76" spans="2:5" x14ac:dyDescent="0.25">
      <c r="B76" s="98"/>
      <c r="C76" s="24"/>
      <c r="D76" s="24"/>
      <c r="E76" s="24"/>
    </row>
    <row r="77" spans="2:5" x14ac:dyDescent="0.25">
      <c r="B77" s="98"/>
      <c r="C77" s="24"/>
      <c r="D77" s="24"/>
      <c r="E77" s="24"/>
    </row>
    <row r="78" spans="2:5" x14ac:dyDescent="0.25">
      <c r="B78" s="98"/>
      <c r="C78" s="24"/>
      <c r="D78" s="24"/>
      <c r="E78" s="24"/>
    </row>
    <row r="79" spans="2:5" x14ac:dyDescent="0.25">
      <c r="B79" s="98"/>
      <c r="C79" s="24"/>
      <c r="D79" s="89"/>
      <c r="E79" s="89"/>
    </row>
    <row r="80" spans="2:5" x14ac:dyDescent="0.25">
      <c r="B80" s="98"/>
      <c r="C80" s="24"/>
      <c r="D80" s="89"/>
      <c r="E80" s="89"/>
    </row>
    <row r="81" spans="2:5" x14ac:dyDescent="0.25">
      <c r="B81" s="98"/>
      <c r="C81" s="24"/>
      <c r="D81" s="24"/>
      <c r="E81" s="24"/>
    </row>
    <row r="82" spans="2:5" x14ac:dyDescent="0.25">
      <c r="B82" s="98"/>
      <c r="C82" s="24"/>
      <c r="D82" s="24"/>
      <c r="E82" s="24"/>
    </row>
    <row r="83" spans="2:5" x14ac:dyDescent="0.25">
      <c r="B83" s="98"/>
      <c r="C83" s="24"/>
      <c r="D83" s="24"/>
      <c r="E83" s="24"/>
    </row>
    <row r="84" spans="2:5" x14ac:dyDescent="0.25">
      <c r="B84" s="98"/>
      <c r="C84" s="24"/>
      <c r="D84" s="24"/>
      <c r="E84" s="24"/>
    </row>
    <row r="85" spans="2:5" x14ac:dyDescent="0.25">
      <c r="B85" s="98"/>
      <c r="C85" s="89"/>
      <c r="D85" s="89"/>
      <c r="E85" s="89"/>
    </row>
    <row r="86" spans="2:5" x14ac:dyDescent="0.25">
      <c r="B86" s="98"/>
      <c r="C86" s="89"/>
      <c r="D86" s="89"/>
      <c r="E86" s="89"/>
    </row>
    <row r="87" spans="2:5" x14ac:dyDescent="0.25">
      <c r="B87" s="98"/>
      <c r="C87" s="89"/>
      <c r="D87" s="89"/>
      <c r="E87" s="89"/>
    </row>
    <row r="88" spans="2:5" x14ac:dyDescent="0.25">
      <c r="B88" s="98"/>
      <c r="C88" s="24"/>
      <c r="D88" s="24"/>
      <c r="E88" s="24"/>
    </row>
    <row r="89" spans="2:5" x14ac:dyDescent="0.25">
      <c r="B89" s="98"/>
      <c r="C89" s="24"/>
      <c r="D89" s="24"/>
      <c r="E89" s="24"/>
    </row>
    <row r="90" spans="2:5" x14ac:dyDescent="0.25">
      <c r="B90" s="98"/>
      <c r="C90" s="89"/>
      <c r="D90" s="89"/>
      <c r="E90" s="89"/>
    </row>
    <row r="91" spans="2:5" x14ac:dyDescent="0.25">
      <c r="B91" s="98"/>
      <c r="C91" s="24"/>
      <c r="D91" s="24"/>
      <c r="E91" s="24"/>
    </row>
    <row r="92" spans="2:5" x14ac:dyDescent="0.25">
      <c r="B92" s="98"/>
      <c r="C92" s="89"/>
      <c r="D92" s="89"/>
      <c r="E92" s="89"/>
    </row>
    <row r="93" spans="2:5" x14ac:dyDescent="0.25">
      <c r="B93" s="98"/>
      <c r="C93" s="89"/>
      <c r="D93" s="89"/>
      <c r="E93" s="89"/>
    </row>
    <row r="94" spans="2:5" x14ac:dyDescent="0.25">
      <c r="B94" s="98"/>
      <c r="C94" s="24"/>
      <c r="D94" s="24"/>
      <c r="E94" s="24"/>
    </row>
    <row r="95" spans="2:5" x14ac:dyDescent="0.25">
      <c r="B95" s="98"/>
      <c r="C95" s="89"/>
      <c r="D95" s="24"/>
      <c r="E95" s="24"/>
    </row>
    <row r="96" spans="2:5" x14ac:dyDescent="0.25">
      <c r="B96" s="98"/>
      <c r="C96" s="24"/>
      <c r="D96" s="24"/>
      <c r="E96" s="24"/>
    </row>
    <row r="97" spans="2:5" x14ac:dyDescent="0.25">
      <c r="B97" s="98"/>
      <c r="C97" s="24"/>
      <c r="D97" s="24"/>
      <c r="E97" s="24"/>
    </row>
    <row r="98" spans="2:5" x14ac:dyDescent="0.25">
      <c r="B98" s="98"/>
      <c r="C98" s="24"/>
      <c r="D98" s="24"/>
      <c r="E98" s="24"/>
    </row>
    <row r="99" spans="2:5" x14ac:dyDescent="0.25">
      <c r="B99" s="98"/>
      <c r="C99" s="24"/>
      <c r="D99" s="24"/>
      <c r="E99" s="24"/>
    </row>
    <row r="100" spans="2:5" x14ac:dyDescent="0.25">
      <c r="B100" s="98"/>
      <c r="C100" s="24"/>
      <c r="D100" s="24"/>
      <c r="E100" s="24"/>
    </row>
    <row r="101" spans="2:5" x14ac:dyDescent="0.25">
      <c r="B101" s="98"/>
      <c r="C101" s="24"/>
      <c r="D101" s="24"/>
      <c r="E101" s="24"/>
    </row>
    <row r="102" spans="2:5" x14ac:dyDescent="0.25">
      <c r="B102" s="98"/>
      <c r="C102" s="89"/>
      <c r="D102" s="89"/>
      <c r="E102" s="89"/>
    </row>
    <row r="103" spans="2:5" x14ac:dyDescent="0.25">
      <c r="B103" s="98"/>
      <c r="C103" s="24"/>
      <c r="D103" s="24"/>
      <c r="E103" s="24"/>
    </row>
    <row r="104" spans="2:5" x14ac:dyDescent="0.25">
      <c r="B104" s="98"/>
      <c r="C104" s="24"/>
      <c r="D104" s="24"/>
      <c r="E104" s="24"/>
    </row>
    <row r="105" spans="2:5" x14ac:dyDescent="0.25">
      <c r="B105" s="98"/>
      <c r="C105" s="24"/>
      <c r="D105" s="24"/>
      <c r="E105" s="24"/>
    </row>
    <row r="106" spans="2:5" x14ac:dyDescent="0.25">
      <c r="B106" s="98"/>
      <c r="C106" s="89"/>
      <c r="D106" s="89"/>
      <c r="E106" s="89"/>
    </row>
    <row r="107" spans="2:5" x14ac:dyDescent="0.25">
      <c r="B107" s="98"/>
      <c r="C107" s="24"/>
      <c r="D107" s="24"/>
      <c r="E107" s="24"/>
    </row>
    <row r="108" spans="2:5" x14ac:dyDescent="0.25">
      <c r="B108" s="98"/>
      <c r="C108" s="89"/>
      <c r="D108" s="89"/>
      <c r="E108" s="89"/>
    </row>
    <row r="109" spans="2:5" x14ac:dyDescent="0.25">
      <c r="B109" s="98"/>
      <c r="C109" s="24"/>
      <c r="D109" s="24"/>
      <c r="E109" s="24"/>
    </row>
    <row r="110" spans="2:5" x14ac:dyDescent="0.25">
      <c r="B110" s="98"/>
      <c r="C110" s="24"/>
      <c r="D110" s="24"/>
      <c r="E110" s="24"/>
    </row>
    <row r="111" spans="2:5" x14ac:dyDescent="0.25">
      <c r="B111" s="98"/>
      <c r="C111" s="89"/>
      <c r="D111" s="89"/>
      <c r="E111" s="89"/>
    </row>
    <row r="112" spans="2:5" x14ac:dyDescent="0.25">
      <c r="B112" s="98"/>
      <c r="C112" s="24"/>
      <c r="D112" s="24"/>
      <c r="E112" s="24"/>
    </row>
    <row r="113" spans="2:5" x14ac:dyDescent="0.25">
      <c r="B113" s="98"/>
      <c r="C113" s="24"/>
      <c r="D113" s="24"/>
      <c r="E113" s="24"/>
    </row>
    <row r="114" spans="2:5" x14ac:dyDescent="0.25">
      <c r="B114" s="98"/>
      <c r="C114" s="24"/>
      <c r="D114" s="24"/>
      <c r="E114" s="24"/>
    </row>
    <row r="115" spans="2:5" x14ac:dyDescent="0.25">
      <c r="B115" s="98"/>
      <c r="C115" s="89"/>
      <c r="D115" s="89"/>
      <c r="E115" s="89"/>
    </row>
    <row r="116" spans="2:5" x14ac:dyDescent="0.25">
      <c r="B116" s="98"/>
      <c r="C116" s="24"/>
      <c r="D116" s="24"/>
      <c r="E116" s="24"/>
    </row>
    <row r="117" spans="2:5" x14ac:dyDescent="0.25">
      <c r="B117" s="98"/>
      <c r="C117" s="89"/>
      <c r="D117" s="24"/>
      <c r="E117" s="24"/>
    </row>
    <row r="118" spans="2:5" x14ac:dyDescent="0.25">
      <c r="B118" s="98"/>
      <c r="C118" s="89"/>
      <c r="D118" s="89"/>
      <c r="E118" s="89"/>
    </row>
    <row r="119" spans="2:5" x14ac:dyDescent="0.25">
      <c r="B119" s="98"/>
      <c r="C119" s="24"/>
      <c r="D119" s="24"/>
      <c r="E119" s="24"/>
    </row>
    <row r="120" spans="2:5" x14ac:dyDescent="0.25">
      <c r="B120" s="98"/>
      <c r="C120" s="89"/>
      <c r="D120" s="89"/>
      <c r="E120" s="89"/>
    </row>
    <row r="121" spans="2:5" x14ac:dyDescent="0.25">
      <c r="B121" s="98"/>
      <c r="C121" s="24"/>
      <c r="D121" s="24"/>
      <c r="E121" s="24"/>
    </row>
    <row r="122" spans="2:5" x14ac:dyDescent="0.25">
      <c r="B122" s="98"/>
      <c r="C122" s="24"/>
      <c r="D122" s="24"/>
      <c r="E122" s="24"/>
    </row>
    <row r="123" spans="2:5" x14ac:dyDescent="0.25">
      <c r="B123" s="98"/>
      <c r="C123" s="24"/>
      <c r="D123" s="24"/>
      <c r="E123" s="24"/>
    </row>
    <row r="124" spans="2:5" x14ac:dyDescent="0.25">
      <c r="B124" s="98"/>
      <c r="C124" s="24"/>
      <c r="D124" s="24"/>
      <c r="E124" s="24"/>
    </row>
    <row r="125" spans="2:5" x14ac:dyDescent="0.25">
      <c r="B125" s="98"/>
      <c r="C125" s="24"/>
      <c r="D125" s="24"/>
      <c r="E125" s="24"/>
    </row>
    <row r="126" spans="2:5" x14ac:dyDescent="0.25">
      <c r="B126" s="98"/>
      <c r="C126" s="24"/>
      <c r="D126" s="24"/>
      <c r="E126" s="24"/>
    </row>
    <row r="127" spans="2:5" x14ac:dyDescent="0.25">
      <c r="B127" s="98"/>
      <c r="C127" s="24"/>
      <c r="D127" s="24"/>
      <c r="E127" s="24"/>
    </row>
    <row r="128" spans="2:5" x14ac:dyDescent="0.25">
      <c r="B128" s="99"/>
      <c r="C128" s="100"/>
      <c r="D128" s="100"/>
      <c r="E128" s="100"/>
    </row>
    <row r="129" spans="2:5" x14ac:dyDescent="0.25">
      <c r="B129" s="98"/>
      <c r="C129" s="24"/>
      <c r="D129" s="24"/>
      <c r="E129" s="24"/>
    </row>
    <row r="130" spans="2:5" x14ac:dyDescent="0.25">
      <c r="B130" s="98"/>
      <c r="C130" s="24"/>
      <c r="D130" s="24"/>
      <c r="E130" s="24"/>
    </row>
    <row r="131" spans="2:5" x14ac:dyDescent="0.25">
      <c r="B131" s="98"/>
      <c r="C131" s="24"/>
      <c r="D131" s="24"/>
      <c r="E131" s="24"/>
    </row>
    <row r="132" spans="2:5" x14ac:dyDescent="0.25">
      <c r="B132" s="98"/>
      <c r="C132" s="24"/>
      <c r="D132" s="24"/>
      <c r="E132" s="24"/>
    </row>
    <row r="133" spans="2:5" x14ac:dyDescent="0.25">
      <c r="B133" s="98"/>
      <c r="C133" s="24"/>
      <c r="D133" s="24"/>
      <c r="E133" s="24"/>
    </row>
    <row r="134" spans="2:5" x14ac:dyDescent="0.25">
      <c r="B134" s="98"/>
      <c r="C134" s="24"/>
      <c r="D134" s="24"/>
      <c r="E134" s="24"/>
    </row>
    <row r="135" spans="2:5" x14ac:dyDescent="0.25">
      <c r="B135" s="98"/>
      <c r="C135" s="24"/>
      <c r="D135" s="24"/>
      <c r="E135" s="24"/>
    </row>
    <row r="136" spans="2:5" x14ac:dyDescent="0.25">
      <c r="B136" s="98"/>
      <c r="C136" s="24"/>
      <c r="D136" s="24"/>
      <c r="E136" s="24"/>
    </row>
    <row r="137" spans="2:5" x14ac:dyDescent="0.25">
      <c r="B137" s="98"/>
      <c r="C137" s="24"/>
      <c r="D137" s="24"/>
      <c r="E137" s="24"/>
    </row>
    <row r="138" spans="2:5" x14ac:dyDescent="0.25">
      <c r="B138" s="98"/>
      <c r="C138" s="24"/>
      <c r="D138" s="24"/>
      <c r="E138" s="24"/>
    </row>
    <row r="139" spans="2:5" x14ac:dyDescent="0.25">
      <c r="B139" s="98"/>
      <c r="C139" s="24"/>
      <c r="D139" s="24"/>
      <c r="E139" s="24"/>
    </row>
    <row r="140" spans="2:5" x14ac:dyDescent="0.25">
      <c r="B140" s="98"/>
      <c r="C140" s="24"/>
      <c r="D140" s="24"/>
      <c r="E140" s="24"/>
    </row>
    <row r="141" spans="2:5" x14ac:dyDescent="0.25">
      <c r="B141" s="98"/>
      <c r="C141" s="24"/>
      <c r="D141" s="24"/>
      <c r="E141" s="24"/>
    </row>
    <row r="142" spans="2:5" x14ac:dyDescent="0.25">
      <c r="B142" s="98"/>
      <c r="C142" s="24"/>
      <c r="D142" s="24"/>
      <c r="E142" s="24"/>
    </row>
    <row r="143" spans="2:5" x14ac:dyDescent="0.25">
      <c r="B143" s="99"/>
      <c r="C143" s="100"/>
      <c r="D143" s="100"/>
      <c r="E143" s="100"/>
    </row>
    <row r="144" spans="2:5" x14ac:dyDescent="0.25"/>
    <row r="145" x14ac:dyDescent="0.25"/>
    <row r="146" x14ac:dyDescent="0.25"/>
    <row r="147" x14ac:dyDescent="0.25"/>
    <row r="148" x14ac:dyDescent="0.25"/>
  </sheetData>
  <mergeCells count="1">
    <mergeCell ref="B1:C1"/>
  </mergeCells>
  <phoneticPr fontId="42" type="noConversion"/>
  <pageMargins left="0.7" right="0.7" top="0.78740157499999996" bottom="0.78740157499999996"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1" tint="0.249977111117893"/>
  </sheetPr>
  <dimension ref="A1:O50"/>
  <sheetViews>
    <sheetView workbookViewId="0"/>
  </sheetViews>
  <sheetFormatPr baseColWidth="10" defaultColWidth="0" defaultRowHeight="15" x14ac:dyDescent="0.25"/>
  <cols>
    <col min="1" max="1" width="4.42578125" style="1" customWidth="1"/>
    <col min="2" max="2" width="27.42578125" style="1" customWidth="1"/>
    <col min="3" max="3" width="22.140625" style="1" customWidth="1"/>
    <col min="4" max="4" width="13.85546875" style="1" bestFit="1" customWidth="1"/>
    <col min="5" max="5" width="27.85546875" style="1" customWidth="1"/>
    <col min="6" max="6" width="23.7109375" style="1" customWidth="1"/>
    <col min="7" max="7" width="13.85546875" style="1" bestFit="1" customWidth="1"/>
    <col min="8" max="14" width="10.85546875" style="1" customWidth="1"/>
    <col min="15" max="15" width="4.42578125" style="1" customWidth="1"/>
    <col min="16" max="16384" width="10.85546875" style="1" hidden="1"/>
  </cols>
  <sheetData>
    <row r="1" spans="1:15" ht="45.6" customHeight="1" x14ac:dyDescent="0.35">
      <c r="A1"/>
      <c r="B1" s="184" t="s">
        <v>151</v>
      </c>
      <c r="C1" s="184"/>
      <c r="O1"/>
    </row>
    <row r="3" spans="1:15" ht="62.1" customHeight="1" x14ac:dyDescent="0.25">
      <c r="B3" s="78" t="s">
        <v>232</v>
      </c>
      <c r="C3" s="78" t="s">
        <v>152</v>
      </c>
      <c r="D3" s="78" t="s">
        <v>153</v>
      </c>
      <c r="E3" s="78" t="s">
        <v>154</v>
      </c>
      <c r="F3" s="78" t="s">
        <v>152</v>
      </c>
      <c r="G3" s="78" t="s">
        <v>155</v>
      </c>
      <c r="I3" s="185" t="s">
        <v>156</v>
      </c>
      <c r="J3" s="185"/>
      <c r="K3" s="185"/>
      <c r="L3" s="185"/>
      <c r="M3" s="185"/>
      <c r="N3" s="185"/>
    </row>
    <row r="4" spans="1:15" x14ac:dyDescent="0.25">
      <c r="B4" s="79"/>
      <c r="C4" s="79"/>
      <c r="D4" s="80" t="str">
        <f ca="1">IFERROR(INDIRECT(CONCATENATE(B4,"!$L$145")),"bitte eintragen")</f>
        <v>bitte eintragen</v>
      </c>
      <c r="E4" s="79"/>
      <c r="F4" s="79"/>
      <c r="G4" s="80" t="str">
        <f ca="1">IFERROR(INDIRECT(CONCATENATE(E4,"!$L$145")),"bitte eintragen")</f>
        <v>bitte eintragen</v>
      </c>
      <c r="I4" s="185"/>
      <c r="J4" s="185"/>
      <c r="K4" s="185"/>
      <c r="L4" s="185"/>
      <c r="M4" s="185"/>
      <c r="N4" s="185"/>
    </row>
    <row r="5" spans="1:15" x14ac:dyDescent="0.25">
      <c r="B5" s="79"/>
      <c r="C5" s="79"/>
      <c r="D5" s="80" t="str">
        <f t="shared" ref="D5:D50" ca="1" si="0">IFERROR(INDIRECT(CONCATENATE(B5,"!$L$145")),"bitte eintragen")</f>
        <v>bitte eintragen</v>
      </c>
      <c r="E5" s="79"/>
      <c r="F5" s="79"/>
      <c r="G5" s="80" t="str">
        <f t="shared" ref="G5:G50" ca="1" si="1">IFERROR(INDIRECT(CONCATENATE(E5,"!$L$145")),"bitte eintragen")</f>
        <v>bitte eintragen</v>
      </c>
      <c r="I5" s="185"/>
      <c r="J5" s="185"/>
      <c r="K5" s="185"/>
      <c r="L5" s="185"/>
      <c r="M5" s="185"/>
      <c r="N5" s="185"/>
    </row>
    <row r="6" spans="1:15" x14ac:dyDescent="0.25">
      <c r="B6" s="79"/>
      <c r="C6" s="79"/>
      <c r="D6" s="80" t="str">
        <f t="shared" ca="1" si="0"/>
        <v>bitte eintragen</v>
      </c>
      <c r="E6" s="79"/>
      <c r="F6" s="79"/>
      <c r="G6" s="80" t="str">
        <f t="shared" ca="1" si="1"/>
        <v>bitte eintragen</v>
      </c>
      <c r="I6" s="185"/>
      <c r="J6" s="185"/>
      <c r="K6" s="185"/>
      <c r="L6" s="185"/>
      <c r="M6" s="185"/>
      <c r="N6" s="185"/>
    </row>
    <row r="7" spans="1:15" x14ac:dyDescent="0.25">
      <c r="B7" s="79"/>
      <c r="C7" s="79"/>
      <c r="D7" s="80" t="str">
        <f t="shared" ca="1" si="0"/>
        <v>bitte eintragen</v>
      </c>
      <c r="E7" s="79"/>
      <c r="F7" s="79"/>
      <c r="G7" s="80" t="str">
        <f t="shared" ca="1" si="1"/>
        <v>bitte eintragen</v>
      </c>
    </row>
    <row r="8" spans="1:15" x14ac:dyDescent="0.25">
      <c r="B8" s="79"/>
      <c r="C8" s="79"/>
      <c r="D8" s="80" t="str">
        <f t="shared" ca="1" si="0"/>
        <v>bitte eintragen</v>
      </c>
      <c r="E8" s="79"/>
      <c r="F8" s="79"/>
      <c r="G8" s="80" t="str">
        <f t="shared" ca="1" si="1"/>
        <v>bitte eintragen</v>
      </c>
    </row>
    <row r="9" spans="1:15" x14ac:dyDescent="0.25">
      <c r="B9" s="79"/>
      <c r="C9" s="79"/>
      <c r="D9" s="80" t="str">
        <f t="shared" ca="1" si="0"/>
        <v>bitte eintragen</v>
      </c>
      <c r="E9" s="79"/>
      <c r="F9" s="79"/>
      <c r="G9" s="80" t="str">
        <f t="shared" ca="1" si="1"/>
        <v>bitte eintragen</v>
      </c>
    </row>
    <row r="10" spans="1:15" x14ac:dyDescent="0.25">
      <c r="B10" s="79"/>
      <c r="C10" s="79"/>
      <c r="D10" s="80" t="str">
        <f t="shared" ca="1" si="0"/>
        <v>bitte eintragen</v>
      </c>
      <c r="E10" s="79"/>
      <c r="F10" s="79"/>
      <c r="G10" s="80" t="str">
        <f t="shared" ca="1" si="1"/>
        <v>bitte eintragen</v>
      </c>
    </row>
    <row r="11" spans="1:15" x14ac:dyDescent="0.25">
      <c r="B11" s="79"/>
      <c r="C11" s="79"/>
      <c r="D11" s="80" t="str">
        <f t="shared" ca="1" si="0"/>
        <v>bitte eintragen</v>
      </c>
      <c r="E11" s="79"/>
      <c r="F11" s="79"/>
      <c r="G11" s="80" t="str">
        <f t="shared" ca="1" si="1"/>
        <v>bitte eintragen</v>
      </c>
    </row>
    <row r="12" spans="1:15" x14ac:dyDescent="0.25">
      <c r="B12" s="79"/>
      <c r="C12" s="79"/>
      <c r="D12" s="80" t="str">
        <f t="shared" ca="1" si="0"/>
        <v>bitte eintragen</v>
      </c>
      <c r="E12" s="79"/>
      <c r="F12" s="79"/>
      <c r="G12" s="80" t="str">
        <f t="shared" ca="1" si="1"/>
        <v>bitte eintragen</v>
      </c>
    </row>
    <row r="13" spans="1:15" x14ac:dyDescent="0.25">
      <c r="B13" s="79"/>
      <c r="C13" s="79"/>
      <c r="D13" s="80" t="str">
        <f t="shared" ca="1" si="0"/>
        <v>bitte eintragen</v>
      </c>
      <c r="E13" s="79"/>
      <c r="F13" s="79"/>
      <c r="G13" s="80" t="str">
        <f t="shared" ca="1" si="1"/>
        <v>bitte eintragen</v>
      </c>
    </row>
    <row r="14" spans="1:15" x14ac:dyDescent="0.25">
      <c r="B14" s="79"/>
      <c r="C14" s="79"/>
      <c r="D14" s="80" t="str">
        <f t="shared" ca="1" si="0"/>
        <v>bitte eintragen</v>
      </c>
      <c r="E14" s="79"/>
      <c r="F14" s="79"/>
      <c r="G14" s="80" t="str">
        <f t="shared" ca="1" si="1"/>
        <v>bitte eintragen</v>
      </c>
    </row>
    <row r="15" spans="1:15" x14ac:dyDescent="0.25">
      <c r="B15" s="79"/>
      <c r="C15" s="79"/>
      <c r="D15" s="80" t="str">
        <f t="shared" ca="1" si="0"/>
        <v>bitte eintragen</v>
      </c>
      <c r="E15" s="79"/>
      <c r="F15" s="79"/>
      <c r="G15" s="80" t="str">
        <f t="shared" ca="1" si="1"/>
        <v>bitte eintragen</v>
      </c>
    </row>
    <row r="16" spans="1:15" x14ac:dyDescent="0.25">
      <c r="B16" s="79"/>
      <c r="C16" s="79"/>
      <c r="D16" s="80" t="str">
        <f t="shared" ca="1" si="0"/>
        <v>bitte eintragen</v>
      </c>
      <c r="E16" s="79"/>
      <c r="F16" s="79"/>
      <c r="G16" s="80" t="str">
        <f t="shared" ca="1" si="1"/>
        <v>bitte eintragen</v>
      </c>
    </row>
    <row r="17" spans="2:7" x14ac:dyDescent="0.25">
      <c r="B17" s="79"/>
      <c r="C17" s="79"/>
      <c r="D17" s="80" t="str">
        <f t="shared" ca="1" si="0"/>
        <v>bitte eintragen</v>
      </c>
      <c r="E17" s="79"/>
      <c r="F17" s="79"/>
      <c r="G17" s="80" t="str">
        <f t="shared" ca="1" si="1"/>
        <v>bitte eintragen</v>
      </c>
    </row>
    <row r="18" spans="2:7" x14ac:dyDescent="0.25">
      <c r="B18" s="79"/>
      <c r="C18" s="79"/>
      <c r="D18" s="80" t="str">
        <f t="shared" ca="1" si="0"/>
        <v>bitte eintragen</v>
      </c>
      <c r="E18" s="79"/>
      <c r="F18" s="79"/>
      <c r="G18" s="80" t="str">
        <f t="shared" ca="1" si="1"/>
        <v>bitte eintragen</v>
      </c>
    </row>
    <row r="19" spans="2:7" x14ac:dyDescent="0.25">
      <c r="B19" s="79"/>
      <c r="C19" s="79"/>
      <c r="D19" s="80" t="str">
        <f t="shared" ca="1" si="0"/>
        <v>bitte eintragen</v>
      </c>
      <c r="E19" s="79"/>
      <c r="F19" s="79"/>
      <c r="G19" s="80" t="str">
        <f t="shared" ca="1" si="1"/>
        <v>bitte eintragen</v>
      </c>
    </row>
    <row r="20" spans="2:7" x14ac:dyDescent="0.25">
      <c r="B20" s="79"/>
      <c r="C20" s="79"/>
      <c r="D20" s="80" t="str">
        <f t="shared" ca="1" si="0"/>
        <v>bitte eintragen</v>
      </c>
      <c r="E20" s="79"/>
      <c r="F20" s="79"/>
      <c r="G20" s="80" t="str">
        <f t="shared" ca="1" si="1"/>
        <v>bitte eintragen</v>
      </c>
    </row>
    <row r="21" spans="2:7" x14ac:dyDescent="0.25">
      <c r="B21" s="79"/>
      <c r="C21" s="79"/>
      <c r="D21" s="80" t="str">
        <f t="shared" ca="1" si="0"/>
        <v>bitte eintragen</v>
      </c>
      <c r="E21" s="79"/>
      <c r="F21" s="79"/>
      <c r="G21" s="80" t="str">
        <f t="shared" ca="1" si="1"/>
        <v>bitte eintragen</v>
      </c>
    </row>
    <row r="22" spans="2:7" x14ac:dyDescent="0.25">
      <c r="B22" s="79"/>
      <c r="C22" s="79"/>
      <c r="D22" s="80" t="str">
        <f t="shared" ca="1" si="0"/>
        <v>bitte eintragen</v>
      </c>
      <c r="E22" s="79"/>
      <c r="F22" s="79"/>
      <c r="G22" s="80" t="str">
        <f t="shared" ca="1" si="1"/>
        <v>bitte eintragen</v>
      </c>
    </row>
    <row r="23" spans="2:7" x14ac:dyDescent="0.25">
      <c r="B23" s="79"/>
      <c r="C23" s="79"/>
      <c r="D23" s="80" t="str">
        <f t="shared" ca="1" si="0"/>
        <v>bitte eintragen</v>
      </c>
      <c r="E23" s="79"/>
      <c r="F23" s="79"/>
      <c r="G23" s="80" t="str">
        <f t="shared" ca="1" si="1"/>
        <v>bitte eintragen</v>
      </c>
    </row>
    <row r="24" spans="2:7" x14ac:dyDescent="0.25">
      <c r="B24" s="79"/>
      <c r="C24" s="79"/>
      <c r="D24" s="80" t="str">
        <f t="shared" ca="1" si="0"/>
        <v>bitte eintragen</v>
      </c>
      <c r="E24" s="79"/>
      <c r="F24" s="79"/>
      <c r="G24" s="80" t="str">
        <f t="shared" ca="1" si="1"/>
        <v>bitte eintragen</v>
      </c>
    </row>
    <row r="25" spans="2:7" x14ac:dyDescent="0.25">
      <c r="B25" s="79"/>
      <c r="C25" s="79"/>
      <c r="D25" s="80" t="str">
        <f t="shared" ca="1" si="0"/>
        <v>bitte eintragen</v>
      </c>
      <c r="E25" s="79"/>
      <c r="F25" s="79"/>
      <c r="G25" s="80" t="str">
        <f t="shared" ca="1" si="1"/>
        <v>bitte eintragen</v>
      </c>
    </row>
    <row r="26" spans="2:7" x14ac:dyDescent="0.25">
      <c r="B26" s="79"/>
      <c r="C26" s="79"/>
      <c r="D26" s="80" t="str">
        <f t="shared" ca="1" si="0"/>
        <v>bitte eintragen</v>
      </c>
      <c r="E26" s="79"/>
      <c r="F26" s="79"/>
      <c r="G26" s="80" t="str">
        <f t="shared" ca="1" si="1"/>
        <v>bitte eintragen</v>
      </c>
    </row>
    <row r="27" spans="2:7" x14ac:dyDescent="0.25">
      <c r="B27" s="79"/>
      <c r="C27" s="79"/>
      <c r="D27" s="80" t="str">
        <f t="shared" ca="1" si="0"/>
        <v>bitte eintragen</v>
      </c>
      <c r="E27" s="79"/>
      <c r="F27" s="79"/>
      <c r="G27" s="80" t="str">
        <f t="shared" ca="1" si="1"/>
        <v>bitte eintragen</v>
      </c>
    </row>
    <row r="28" spans="2:7" x14ac:dyDescent="0.25">
      <c r="B28" s="79"/>
      <c r="C28" s="79"/>
      <c r="D28" s="80" t="str">
        <f t="shared" ca="1" si="0"/>
        <v>bitte eintragen</v>
      </c>
      <c r="E28" s="79"/>
      <c r="F28" s="79"/>
      <c r="G28" s="80" t="str">
        <f t="shared" ca="1" si="1"/>
        <v>bitte eintragen</v>
      </c>
    </row>
    <row r="29" spans="2:7" x14ac:dyDescent="0.25">
      <c r="B29" s="79"/>
      <c r="C29" s="79"/>
      <c r="D29" s="80" t="str">
        <f t="shared" ca="1" si="0"/>
        <v>bitte eintragen</v>
      </c>
      <c r="E29" s="79"/>
      <c r="F29" s="79"/>
      <c r="G29" s="80" t="str">
        <f t="shared" ca="1" si="1"/>
        <v>bitte eintragen</v>
      </c>
    </row>
    <row r="30" spans="2:7" x14ac:dyDescent="0.25">
      <c r="B30" s="79"/>
      <c r="C30" s="79"/>
      <c r="D30" s="80" t="str">
        <f t="shared" ca="1" si="0"/>
        <v>bitte eintragen</v>
      </c>
      <c r="E30" s="79"/>
      <c r="F30" s="79"/>
      <c r="G30" s="80" t="str">
        <f t="shared" ca="1" si="1"/>
        <v>bitte eintragen</v>
      </c>
    </row>
    <row r="31" spans="2:7" x14ac:dyDescent="0.25">
      <c r="B31" s="79"/>
      <c r="C31" s="79"/>
      <c r="D31" s="80" t="str">
        <f t="shared" ca="1" si="0"/>
        <v>bitte eintragen</v>
      </c>
      <c r="E31" s="79"/>
      <c r="F31" s="79"/>
      <c r="G31" s="80" t="str">
        <f t="shared" ca="1" si="1"/>
        <v>bitte eintragen</v>
      </c>
    </row>
    <row r="32" spans="2:7" x14ac:dyDescent="0.25">
      <c r="B32" s="79"/>
      <c r="C32" s="79"/>
      <c r="D32" s="80" t="str">
        <f t="shared" ca="1" si="0"/>
        <v>bitte eintragen</v>
      </c>
      <c r="E32" s="79"/>
      <c r="F32" s="79"/>
      <c r="G32" s="80" t="str">
        <f t="shared" ca="1" si="1"/>
        <v>bitte eintragen</v>
      </c>
    </row>
    <row r="33" spans="2:7" x14ac:dyDescent="0.25">
      <c r="B33" s="79"/>
      <c r="C33" s="79"/>
      <c r="D33" s="80" t="str">
        <f t="shared" ca="1" si="0"/>
        <v>bitte eintragen</v>
      </c>
      <c r="E33" s="79"/>
      <c r="F33" s="79"/>
      <c r="G33" s="80" t="str">
        <f t="shared" ca="1" si="1"/>
        <v>bitte eintragen</v>
      </c>
    </row>
    <row r="34" spans="2:7" x14ac:dyDescent="0.25">
      <c r="B34" s="79"/>
      <c r="C34" s="79"/>
      <c r="D34" s="80" t="str">
        <f t="shared" ca="1" si="0"/>
        <v>bitte eintragen</v>
      </c>
      <c r="E34" s="79"/>
      <c r="F34" s="79"/>
      <c r="G34" s="80" t="str">
        <f t="shared" ca="1" si="1"/>
        <v>bitte eintragen</v>
      </c>
    </row>
    <row r="35" spans="2:7" x14ac:dyDescent="0.25">
      <c r="B35" s="79"/>
      <c r="C35" s="79"/>
      <c r="D35" s="80" t="str">
        <f t="shared" ca="1" si="0"/>
        <v>bitte eintragen</v>
      </c>
      <c r="E35" s="79"/>
      <c r="F35" s="79"/>
      <c r="G35" s="80" t="str">
        <f t="shared" ca="1" si="1"/>
        <v>bitte eintragen</v>
      </c>
    </row>
    <row r="36" spans="2:7" x14ac:dyDescent="0.25">
      <c r="B36" s="79"/>
      <c r="C36" s="79"/>
      <c r="D36" s="80" t="str">
        <f t="shared" ca="1" si="0"/>
        <v>bitte eintragen</v>
      </c>
      <c r="E36" s="79"/>
      <c r="F36" s="79"/>
      <c r="G36" s="80" t="str">
        <f t="shared" ca="1" si="1"/>
        <v>bitte eintragen</v>
      </c>
    </row>
    <row r="37" spans="2:7" x14ac:dyDescent="0.25">
      <c r="B37" s="79"/>
      <c r="C37" s="79"/>
      <c r="D37" s="80" t="str">
        <f t="shared" ca="1" si="0"/>
        <v>bitte eintragen</v>
      </c>
      <c r="E37" s="79"/>
      <c r="F37" s="79"/>
      <c r="G37" s="80" t="str">
        <f t="shared" ca="1" si="1"/>
        <v>bitte eintragen</v>
      </c>
    </row>
    <row r="38" spans="2:7" x14ac:dyDescent="0.25">
      <c r="B38" s="79"/>
      <c r="C38" s="79"/>
      <c r="D38" s="80" t="str">
        <f t="shared" ca="1" si="0"/>
        <v>bitte eintragen</v>
      </c>
      <c r="E38" s="79"/>
      <c r="F38" s="79"/>
      <c r="G38" s="80" t="str">
        <f t="shared" ca="1" si="1"/>
        <v>bitte eintragen</v>
      </c>
    </row>
    <row r="39" spans="2:7" x14ac:dyDescent="0.25">
      <c r="B39" s="79"/>
      <c r="C39" s="79"/>
      <c r="D39" s="80" t="str">
        <f t="shared" ca="1" si="0"/>
        <v>bitte eintragen</v>
      </c>
      <c r="E39" s="79"/>
      <c r="F39" s="79"/>
      <c r="G39" s="80" t="str">
        <f t="shared" ca="1" si="1"/>
        <v>bitte eintragen</v>
      </c>
    </row>
    <row r="40" spans="2:7" x14ac:dyDescent="0.25">
      <c r="B40" s="79"/>
      <c r="C40" s="79"/>
      <c r="D40" s="80" t="str">
        <f t="shared" ca="1" si="0"/>
        <v>bitte eintragen</v>
      </c>
      <c r="E40" s="79"/>
      <c r="F40" s="79"/>
      <c r="G40" s="80" t="str">
        <f t="shared" ca="1" si="1"/>
        <v>bitte eintragen</v>
      </c>
    </row>
    <row r="41" spans="2:7" x14ac:dyDescent="0.25">
      <c r="B41" s="79"/>
      <c r="C41" s="79"/>
      <c r="D41" s="80" t="str">
        <f t="shared" ca="1" si="0"/>
        <v>bitte eintragen</v>
      </c>
      <c r="E41" s="79"/>
      <c r="F41" s="79"/>
      <c r="G41" s="80" t="str">
        <f t="shared" ca="1" si="1"/>
        <v>bitte eintragen</v>
      </c>
    </row>
    <row r="42" spans="2:7" x14ac:dyDescent="0.25">
      <c r="B42" s="79"/>
      <c r="C42" s="79"/>
      <c r="D42" s="80" t="str">
        <f t="shared" ca="1" si="0"/>
        <v>bitte eintragen</v>
      </c>
      <c r="E42" s="79"/>
      <c r="F42" s="79"/>
      <c r="G42" s="80" t="str">
        <f t="shared" ca="1" si="1"/>
        <v>bitte eintragen</v>
      </c>
    </row>
    <row r="43" spans="2:7" x14ac:dyDescent="0.25">
      <c r="B43" s="79"/>
      <c r="C43" s="79"/>
      <c r="D43" s="80" t="str">
        <f t="shared" ca="1" si="0"/>
        <v>bitte eintragen</v>
      </c>
      <c r="E43" s="79"/>
      <c r="F43" s="79"/>
      <c r="G43" s="80" t="str">
        <f t="shared" ca="1" si="1"/>
        <v>bitte eintragen</v>
      </c>
    </row>
    <row r="44" spans="2:7" x14ac:dyDescent="0.25">
      <c r="B44" s="79"/>
      <c r="C44" s="79"/>
      <c r="D44" s="80" t="str">
        <f t="shared" ca="1" si="0"/>
        <v>bitte eintragen</v>
      </c>
      <c r="E44" s="79"/>
      <c r="F44" s="79"/>
      <c r="G44" s="80" t="str">
        <f t="shared" ca="1" si="1"/>
        <v>bitte eintragen</v>
      </c>
    </row>
    <row r="45" spans="2:7" x14ac:dyDescent="0.25">
      <c r="B45" s="79"/>
      <c r="C45" s="79"/>
      <c r="D45" s="80" t="str">
        <f t="shared" ca="1" si="0"/>
        <v>bitte eintragen</v>
      </c>
      <c r="E45" s="79"/>
      <c r="F45" s="79"/>
      <c r="G45" s="80" t="str">
        <f t="shared" ca="1" si="1"/>
        <v>bitte eintragen</v>
      </c>
    </row>
    <row r="46" spans="2:7" x14ac:dyDescent="0.25">
      <c r="B46" s="79"/>
      <c r="C46" s="79"/>
      <c r="D46" s="80" t="str">
        <f t="shared" ca="1" si="0"/>
        <v>bitte eintragen</v>
      </c>
      <c r="E46" s="79"/>
      <c r="F46" s="79"/>
      <c r="G46" s="80" t="str">
        <f t="shared" ca="1" si="1"/>
        <v>bitte eintragen</v>
      </c>
    </row>
    <row r="47" spans="2:7" x14ac:dyDescent="0.25">
      <c r="B47" s="79"/>
      <c r="C47" s="79"/>
      <c r="D47" s="80" t="str">
        <f t="shared" ca="1" si="0"/>
        <v>bitte eintragen</v>
      </c>
      <c r="E47" s="79"/>
      <c r="F47" s="79"/>
      <c r="G47" s="80" t="str">
        <f t="shared" ca="1" si="1"/>
        <v>bitte eintragen</v>
      </c>
    </row>
    <row r="48" spans="2:7" x14ac:dyDescent="0.25">
      <c r="B48" s="79"/>
      <c r="C48" s="79"/>
      <c r="D48" s="80" t="str">
        <f t="shared" ca="1" si="0"/>
        <v>bitte eintragen</v>
      </c>
      <c r="E48" s="79"/>
      <c r="F48" s="79"/>
      <c r="G48" s="80" t="str">
        <f t="shared" ca="1" si="1"/>
        <v>bitte eintragen</v>
      </c>
    </row>
    <row r="49" spans="2:7" x14ac:dyDescent="0.25">
      <c r="B49" s="79"/>
      <c r="C49" s="79"/>
      <c r="D49" s="80" t="str">
        <f t="shared" ca="1" si="0"/>
        <v>bitte eintragen</v>
      </c>
      <c r="E49" s="79"/>
      <c r="F49" s="79"/>
      <c r="G49" s="80" t="str">
        <f t="shared" ca="1" si="1"/>
        <v>bitte eintragen</v>
      </c>
    </row>
    <row r="50" spans="2:7" x14ac:dyDescent="0.25">
      <c r="B50" s="79"/>
      <c r="C50" s="79"/>
      <c r="D50" s="80" t="str">
        <f t="shared" ca="1" si="0"/>
        <v>bitte eintragen</v>
      </c>
      <c r="E50" s="79"/>
      <c r="F50" s="79"/>
      <c r="G50" s="80" t="str">
        <f t="shared" ca="1" si="1"/>
        <v>bitte eintragen</v>
      </c>
    </row>
  </sheetData>
  <mergeCells count="2">
    <mergeCell ref="B1:C1"/>
    <mergeCell ref="I3:N6"/>
  </mergeCells>
  <pageMargins left="0.7" right="0.7" top="0.78740157499999996" bottom="0.78740157499999996" header="0.3" footer="0.3"/>
  <extLst>
    <ext xmlns:x14="http://schemas.microsoft.com/office/spreadsheetml/2009/9/main" uri="{CCE6A557-97BC-4b89-ADB6-D9C93CAAB3DF}">
      <x14:dataValidations xmlns:xm="http://schemas.microsoft.com/office/excel/2006/main" count="1">
        <x14:dataValidation type="list" allowBlank="1" showInputMessage="1">
          <x14:formula1>
            <xm:f>Allgemein!$C$9:$C$38</xm:f>
          </x14:formula1>
          <xm:sqref>B4:B50 E4:E50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1" tint="0.249977111117893"/>
  </sheetPr>
  <dimension ref="A1:H40"/>
  <sheetViews>
    <sheetView showGridLines="0" topLeftCell="C1" workbookViewId="0">
      <selection activeCell="E27" sqref="E27"/>
    </sheetView>
  </sheetViews>
  <sheetFormatPr baseColWidth="10" defaultColWidth="0" defaultRowHeight="15" zeroHeight="1" x14ac:dyDescent="0.25"/>
  <cols>
    <col min="1" max="1" width="23.140625" hidden="1" customWidth="1"/>
    <col min="2" max="2" width="26.85546875" hidden="1" customWidth="1"/>
    <col min="3" max="3" width="31.85546875" customWidth="1"/>
    <col min="4" max="4" width="29.140625" customWidth="1"/>
    <col min="5" max="5" width="23.140625" customWidth="1"/>
    <col min="6" max="6" width="40" hidden="1" customWidth="1"/>
    <col min="7" max="8" width="11.42578125" customWidth="1"/>
    <col min="9" max="16384" width="11.42578125" hidden="1"/>
  </cols>
  <sheetData>
    <row r="1" spans="1:8" x14ac:dyDescent="0.25">
      <c r="A1" s="71" t="s">
        <v>157</v>
      </c>
      <c r="B1" s="71" t="s">
        <v>55</v>
      </c>
      <c r="C1" s="71" t="s">
        <v>56</v>
      </c>
      <c r="D1" s="71" t="s">
        <v>157</v>
      </c>
      <c r="E1" s="71" t="s">
        <v>158</v>
      </c>
      <c r="F1" s="71" t="s">
        <v>58</v>
      </c>
      <c r="G1" s="71" t="s">
        <v>159</v>
      </c>
      <c r="H1" s="186"/>
    </row>
    <row r="2" spans="1:8" ht="15" customHeight="1" x14ac:dyDescent="0.25">
      <c r="A2" t="s">
        <v>160</v>
      </c>
      <c r="C2" t="s">
        <v>258</v>
      </c>
      <c r="D2" t="s">
        <v>253</v>
      </c>
      <c r="E2" t="s">
        <v>161</v>
      </c>
      <c r="G2" t="s">
        <v>81</v>
      </c>
      <c r="H2" s="186"/>
    </row>
    <row r="3" spans="1:8" ht="15" customHeight="1" x14ac:dyDescent="0.25">
      <c r="A3" t="s">
        <v>162</v>
      </c>
      <c r="C3" t="s">
        <v>259</v>
      </c>
      <c r="D3" t="s">
        <v>254</v>
      </c>
      <c r="E3" t="s">
        <v>165</v>
      </c>
      <c r="G3" t="s">
        <v>163</v>
      </c>
      <c r="H3" s="186"/>
    </row>
    <row r="4" spans="1:8" ht="15" customHeight="1" x14ac:dyDescent="0.25">
      <c r="A4" t="s">
        <v>164</v>
      </c>
      <c r="C4" t="s">
        <v>260</v>
      </c>
      <c r="D4" t="s">
        <v>255</v>
      </c>
      <c r="E4" t="s">
        <v>168</v>
      </c>
      <c r="H4" s="186"/>
    </row>
    <row r="5" spans="1:8" x14ac:dyDescent="0.25">
      <c r="A5" t="s">
        <v>166</v>
      </c>
      <c r="C5" t="s">
        <v>261</v>
      </c>
      <c r="D5" t="s">
        <v>256</v>
      </c>
      <c r="E5" t="s">
        <v>186</v>
      </c>
      <c r="H5" s="186"/>
    </row>
    <row r="6" spans="1:8" x14ac:dyDescent="0.25">
      <c r="A6" t="s">
        <v>167</v>
      </c>
      <c r="D6" t="s">
        <v>257</v>
      </c>
      <c r="E6" t="s">
        <v>187</v>
      </c>
      <c r="H6" s="186"/>
    </row>
    <row r="7" spans="1:8" x14ac:dyDescent="0.25">
      <c r="A7" t="s">
        <v>169</v>
      </c>
      <c r="H7" s="186"/>
    </row>
    <row r="8" spans="1:8" x14ac:dyDescent="0.25">
      <c r="A8" t="s">
        <v>170</v>
      </c>
      <c r="H8" s="186"/>
    </row>
    <row r="9" spans="1:8" x14ac:dyDescent="0.25">
      <c r="H9" s="186"/>
    </row>
    <row r="10" spans="1:8" x14ac:dyDescent="0.25">
      <c r="H10" s="186"/>
    </row>
    <row r="11" spans="1:8" x14ac:dyDescent="0.25">
      <c r="H11" s="186"/>
    </row>
    <row r="12" spans="1:8" x14ac:dyDescent="0.25">
      <c r="H12" s="186"/>
    </row>
    <row r="13" spans="1:8" x14ac:dyDescent="0.25">
      <c r="H13" s="186"/>
    </row>
    <row r="14" spans="1:8" x14ac:dyDescent="0.25">
      <c r="H14" s="186"/>
    </row>
    <row r="15" spans="1:8" x14ac:dyDescent="0.25">
      <c r="H15" s="186"/>
    </row>
    <row r="16" spans="1:8" x14ac:dyDescent="0.25">
      <c r="H16" s="186"/>
    </row>
    <row r="17" spans="8:8" x14ac:dyDescent="0.25">
      <c r="H17" s="186"/>
    </row>
    <row r="18" spans="8:8" x14ac:dyDescent="0.25">
      <c r="H18" s="186"/>
    </row>
    <row r="19" spans="8:8" x14ac:dyDescent="0.25">
      <c r="H19" s="186"/>
    </row>
    <row r="20" spans="8:8" x14ac:dyDescent="0.25">
      <c r="H20" s="186"/>
    </row>
    <row r="21" spans="8:8" x14ac:dyDescent="0.25">
      <c r="H21" s="186"/>
    </row>
    <row r="22" spans="8:8" x14ac:dyDescent="0.25">
      <c r="H22" s="186"/>
    </row>
    <row r="23" spans="8:8" x14ac:dyDescent="0.25">
      <c r="H23" s="186"/>
    </row>
    <row r="24" spans="8:8" x14ac:dyDescent="0.25">
      <c r="H24" s="186"/>
    </row>
    <row r="25" spans="8:8" x14ac:dyDescent="0.25">
      <c r="H25" s="186"/>
    </row>
    <row r="26" spans="8:8" x14ac:dyDescent="0.25">
      <c r="H26" s="186"/>
    </row>
    <row r="27" spans="8:8" x14ac:dyDescent="0.25">
      <c r="H27" s="186"/>
    </row>
    <row r="28" spans="8:8" x14ac:dyDescent="0.25">
      <c r="H28" s="186"/>
    </row>
    <row r="29" spans="8:8" x14ac:dyDescent="0.25">
      <c r="H29" s="186"/>
    </row>
    <row r="30" spans="8:8" x14ac:dyDescent="0.25">
      <c r="H30" s="186"/>
    </row>
    <row r="31" spans="8:8" x14ac:dyDescent="0.25">
      <c r="H31" s="186"/>
    </row>
    <row r="32" spans="8:8" x14ac:dyDescent="0.25">
      <c r="H32" s="186"/>
    </row>
    <row r="33" spans="8:8" x14ac:dyDescent="0.25">
      <c r="H33" s="186"/>
    </row>
    <row r="34" spans="8:8" x14ac:dyDescent="0.25">
      <c r="H34" s="186"/>
    </row>
    <row r="35" spans="8:8" x14ac:dyDescent="0.25">
      <c r="H35" s="186"/>
    </row>
    <row r="36" spans="8:8" x14ac:dyDescent="0.25">
      <c r="H36" s="186"/>
    </row>
    <row r="37" spans="8:8" x14ac:dyDescent="0.25">
      <c r="H37" s="186"/>
    </row>
    <row r="38" spans="8:8" x14ac:dyDescent="0.25">
      <c r="H38" s="186"/>
    </row>
    <row r="39" spans="8:8" x14ac:dyDescent="0.25">
      <c r="H39" s="186"/>
    </row>
    <row r="40" spans="8:8" x14ac:dyDescent="0.25">
      <c r="H40" s="186"/>
    </row>
  </sheetData>
  <mergeCells count="1">
    <mergeCell ref="H1:H40"/>
  </mergeCell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Kreuzreferenz"/>
  <dimension ref="B1:AH39"/>
  <sheetViews>
    <sheetView showGridLines="0" tabSelected="1" zoomScale="85" zoomScaleNormal="85" workbookViewId="0">
      <selection activeCell="F10" sqref="F10"/>
    </sheetView>
  </sheetViews>
  <sheetFormatPr baseColWidth="10" defaultColWidth="11.42578125" defaultRowHeight="15" x14ac:dyDescent="0.25"/>
  <cols>
    <col min="1" max="1" width="6.7109375" customWidth="1"/>
    <col min="2" max="2" width="28.7109375" style="93" customWidth="1"/>
    <col min="4" max="10" width="10.85546875"/>
    <col min="15" max="15" width="10.85546875"/>
    <col min="17" max="17" width="10.85546875"/>
    <col min="18" max="18" width="11.42578125" customWidth="1"/>
    <col min="22" max="22" width="11.42578125" customWidth="1"/>
    <col min="26" max="26" width="11.42578125" customWidth="1"/>
    <col min="30" max="30" width="11.42578125" customWidth="1"/>
  </cols>
  <sheetData>
    <row r="1" spans="2:34" ht="57.75" customHeight="1" x14ac:dyDescent="0.25">
      <c r="B1" s="126" t="s">
        <v>171</v>
      </c>
      <c r="C1" s="126"/>
      <c r="D1" s="126"/>
      <c r="E1" s="126"/>
      <c r="F1" s="126"/>
      <c r="G1" s="126"/>
    </row>
    <row r="2" spans="2:34" ht="30" x14ac:dyDescent="0.25">
      <c r="B2" s="91" t="s">
        <v>172</v>
      </c>
      <c r="C2" s="31" t="s">
        <v>173</v>
      </c>
      <c r="D2" s="31" t="s">
        <v>174</v>
      </c>
      <c r="E2" s="31" t="s">
        <v>175</v>
      </c>
      <c r="F2" s="31" t="s">
        <v>176</v>
      </c>
      <c r="G2" s="30" t="s">
        <v>177</v>
      </c>
      <c r="H2" s="30" t="s">
        <v>178</v>
      </c>
      <c r="I2" s="30" t="s">
        <v>179</v>
      </c>
      <c r="J2" s="30" t="s">
        <v>180</v>
      </c>
      <c r="K2" s="30" t="s">
        <v>188</v>
      </c>
      <c r="L2" s="30" t="s">
        <v>189</v>
      </c>
      <c r="M2" s="30" t="s">
        <v>190</v>
      </c>
      <c r="N2" s="30" t="s">
        <v>191</v>
      </c>
      <c r="O2" s="30" t="s">
        <v>209</v>
      </c>
      <c r="P2" s="30" t="s">
        <v>210</v>
      </c>
      <c r="Q2" s="30" t="s">
        <v>211</v>
      </c>
      <c r="R2" s="30" t="s">
        <v>212</v>
      </c>
      <c r="S2" s="30" t="s">
        <v>213</v>
      </c>
      <c r="T2" s="30" t="s">
        <v>214</v>
      </c>
      <c r="U2" s="30" t="s">
        <v>215</v>
      </c>
      <c r="V2" s="30" t="s">
        <v>216</v>
      </c>
      <c r="W2" s="30" t="s">
        <v>217</v>
      </c>
      <c r="X2" s="30" t="s">
        <v>218</v>
      </c>
      <c r="Y2" s="30" t="s">
        <v>219</v>
      </c>
      <c r="Z2" s="30" t="s">
        <v>220</v>
      </c>
      <c r="AA2" s="30" t="s">
        <v>221</v>
      </c>
      <c r="AB2" s="30" t="s">
        <v>223</v>
      </c>
      <c r="AC2" s="30" t="s">
        <v>222</v>
      </c>
      <c r="AD2" s="30" t="s">
        <v>224</v>
      </c>
      <c r="AE2" s="1"/>
      <c r="AF2" s="1"/>
      <c r="AG2" s="1"/>
      <c r="AH2" s="1"/>
    </row>
    <row r="3" spans="2:34" x14ac:dyDescent="0.25">
      <c r="B3" s="92" t="s">
        <v>266</v>
      </c>
      <c r="C3" t="s">
        <v>262</v>
      </c>
      <c r="D3" t="s">
        <v>262</v>
      </c>
      <c r="E3">
        <v>0</v>
      </c>
      <c r="F3" t="s">
        <v>262</v>
      </c>
      <c r="G3" t="s">
        <v>262</v>
      </c>
      <c r="H3" t="s">
        <v>262</v>
      </c>
      <c r="I3">
        <v>0</v>
      </c>
      <c r="J3" t="s">
        <v>262</v>
      </c>
      <c r="AE3" s="1"/>
      <c r="AF3" s="1"/>
      <c r="AG3" s="1"/>
      <c r="AH3" s="1"/>
    </row>
    <row r="4" spans="2:34" x14ac:dyDescent="0.25">
      <c r="B4" s="188" t="s">
        <v>267</v>
      </c>
      <c r="C4" s="189" t="s">
        <v>263</v>
      </c>
      <c r="D4" t="s">
        <v>263</v>
      </c>
      <c r="E4">
        <v>0</v>
      </c>
      <c r="F4" t="s">
        <v>262</v>
      </c>
      <c r="G4" t="s">
        <v>263</v>
      </c>
      <c r="H4" t="s">
        <v>263</v>
      </c>
      <c r="I4">
        <v>0</v>
      </c>
      <c r="J4" t="s">
        <v>262</v>
      </c>
      <c r="AE4" s="1"/>
      <c r="AF4" s="1"/>
      <c r="AG4" s="1"/>
      <c r="AH4" s="1"/>
    </row>
    <row r="5" spans="2:34" x14ac:dyDescent="0.25">
      <c r="B5" s="188" t="s">
        <v>268</v>
      </c>
      <c r="C5" s="189" t="s">
        <v>263</v>
      </c>
      <c r="D5" t="s">
        <v>263</v>
      </c>
      <c r="E5">
        <v>0</v>
      </c>
      <c r="F5" t="s">
        <v>262</v>
      </c>
      <c r="G5" t="s">
        <v>263</v>
      </c>
      <c r="H5" t="s">
        <v>263</v>
      </c>
      <c r="I5">
        <v>0</v>
      </c>
      <c r="J5" t="s">
        <v>262</v>
      </c>
      <c r="AE5" s="1"/>
      <c r="AF5" s="1"/>
      <c r="AG5" s="1"/>
      <c r="AH5" s="1"/>
    </row>
    <row r="6" spans="2:34" x14ac:dyDescent="0.25">
      <c r="B6" s="188" t="s">
        <v>269</v>
      </c>
      <c r="C6" s="189" t="s">
        <v>262</v>
      </c>
      <c r="D6" t="s">
        <v>262</v>
      </c>
      <c r="E6">
        <v>0</v>
      </c>
      <c r="F6" t="s">
        <v>262</v>
      </c>
      <c r="G6" t="s">
        <v>262</v>
      </c>
      <c r="H6" t="s">
        <v>262</v>
      </c>
      <c r="I6">
        <v>0</v>
      </c>
      <c r="J6" t="s">
        <v>262</v>
      </c>
      <c r="AE6" s="1"/>
      <c r="AF6" s="1"/>
      <c r="AG6" s="1"/>
      <c r="AH6" s="1"/>
    </row>
    <row r="7" spans="2:34" x14ac:dyDescent="0.25">
      <c r="B7" s="188" t="s">
        <v>270</v>
      </c>
      <c r="C7" s="189" t="s">
        <v>262</v>
      </c>
      <c r="D7" t="s">
        <v>262</v>
      </c>
      <c r="E7">
        <v>0</v>
      </c>
      <c r="F7" t="s">
        <v>262</v>
      </c>
      <c r="G7" t="s">
        <v>262</v>
      </c>
      <c r="H7" t="s">
        <v>262</v>
      </c>
      <c r="I7">
        <v>0</v>
      </c>
      <c r="J7" t="s">
        <v>262</v>
      </c>
      <c r="AE7" s="1"/>
      <c r="AF7" s="1"/>
      <c r="AG7" s="1"/>
      <c r="AH7" s="1"/>
    </row>
    <row r="8" spans="2:34" x14ac:dyDescent="0.25">
      <c r="B8" s="188" t="s">
        <v>271</v>
      </c>
      <c r="C8" s="189" t="s">
        <v>262</v>
      </c>
      <c r="D8" t="s">
        <v>262</v>
      </c>
      <c r="E8">
        <v>0</v>
      </c>
      <c r="F8" t="s">
        <v>262</v>
      </c>
      <c r="G8" t="s">
        <v>262</v>
      </c>
      <c r="H8" t="s">
        <v>262</v>
      </c>
      <c r="I8">
        <v>0</v>
      </c>
      <c r="J8" t="s">
        <v>262</v>
      </c>
      <c r="AE8" s="1"/>
      <c r="AF8" s="1"/>
      <c r="AG8" s="1"/>
      <c r="AH8" s="1"/>
    </row>
    <row r="9" spans="2:34" x14ac:dyDescent="0.25">
      <c r="B9" s="188" t="s">
        <v>272</v>
      </c>
      <c r="C9" s="189" t="s">
        <v>263</v>
      </c>
      <c r="D9" t="s">
        <v>263</v>
      </c>
      <c r="E9">
        <v>0</v>
      </c>
      <c r="F9" t="s">
        <v>262</v>
      </c>
      <c r="G9" t="s">
        <v>263</v>
      </c>
      <c r="H9" t="s">
        <v>263</v>
      </c>
      <c r="I9">
        <v>0</v>
      </c>
      <c r="J9" t="s">
        <v>262</v>
      </c>
      <c r="AE9" s="1"/>
      <c r="AF9" s="1"/>
      <c r="AG9" s="1"/>
      <c r="AH9" s="1"/>
    </row>
    <row r="10" spans="2:34" ht="30" x14ac:dyDescent="0.25">
      <c r="B10" s="188" t="s">
        <v>273</v>
      </c>
      <c r="C10" s="189" t="s">
        <v>263</v>
      </c>
      <c r="D10" t="s">
        <v>264</v>
      </c>
      <c r="E10">
        <v>0</v>
      </c>
      <c r="F10" t="s">
        <v>264</v>
      </c>
      <c r="G10" t="s">
        <v>263</v>
      </c>
      <c r="H10" t="s">
        <v>263</v>
      </c>
      <c r="I10">
        <v>0</v>
      </c>
      <c r="J10" t="s">
        <v>262</v>
      </c>
      <c r="K10" t="s">
        <v>263</v>
      </c>
      <c r="L10" t="s">
        <v>263</v>
      </c>
      <c r="M10">
        <v>0</v>
      </c>
      <c r="N10" t="s">
        <v>262</v>
      </c>
      <c r="O10" t="s">
        <v>263</v>
      </c>
      <c r="P10" t="s">
        <v>262</v>
      </c>
      <c r="Q10">
        <v>0</v>
      </c>
      <c r="R10" t="s">
        <v>262</v>
      </c>
      <c r="S10" t="s">
        <v>263</v>
      </c>
      <c r="T10" t="s">
        <v>263</v>
      </c>
      <c r="U10">
        <v>0</v>
      </c>
      <c r="V10" t="s">
        <v>262</v>
      </c>
      <c r="W10" t="s">
        <v>262</v>
      </c>
      <c r="X10" t="s">
        <v>262</v>
      </c>
      <c r="Y10">
        <v>0</v>
      </c>
      <c r="Z10" t="s">
        <v>262</v>
      </c>
      <c r="AA10" t="s">
        <v>263</v>
      </c>
      <c r="AB10" t="s">
        <v>264</v>
      </c>
      <c r="AC10">
        <v>0</v>
      </c>
      <c r="AD10" t="s">
        <v>264</v>
      </c>
      <c r="AE10" s="1"/>
      <c r="AF10" s="1"/>
      <c r="AG10" s="1"/>
      <c r="AH10" s="1"/>
    </row>
    <row r="11" spans="2:34" x14ac:dyDescent="0.25">
      <c r="B11" s="188" t="s">
        <v>274</v>
      </c>
      <c r="C11" s="189" t="s">
        <v>263</v>
      </c>
      <c r="D11" t="s">
        <v>264</v>
      </c>
      <c r="E11">
        <v>0</v>
      </c>
      <c r="F11" t="s">
        <v>264</v>
      </c>
      <c r="G11" t="s">
        <v>263</v>
      </c>
      <c r="H11" t="s">
        <v>263</v>
      </c>
      <c r="I11">
        <v>0</v>
      </c>
      <c r="J11" t="s">
        <v>262</v>
      </c>
      <c r="K11" t="s">
        <v>263</v>
      </c>
      <c r="L11" t="s">
        <v>263</v>
      </c>
      <c r="M11">
        <v>0</v>
      </c>
      <c r="N11" t="s">
        <v>262</v>
      </c>
      <c r="O11" t="s">
        <v>263</v>
      </c>
      <c r="P11" t="s">
        <v>262</v>
      </c>
      <c r="Q11">
        <v>0</v>
      </c>
      <c r="R11" t="s">
        <v>262</v>
      </c>
      <c r="S11" t="s">
        <v>263</v>
      </c>
      <c r="T11" t="s">
        <v>263</v>
      </c>
      <c r="U11">
        <v>0</v>
      </c>
      <c r="V11" t="s">
        <v>262</v>
      </c>
      <c r="W11" t="s">
        <v>262</v>
      </c>
      <c r="X11" t="s">
        <v>262</v>
      </c>
      <c r="Y11">
        <v>0</v>
      </c>
      <c r="Z11" t="s">
        <v>262</v>
      </c>
      <c r="AA11" t="s">
        <v>263</v>
      </c>
      <c r="AB11" t="s">
        <v>264</v>
      </c>
      <c r="AC11">
        <v>0</v>
      </c>
      <c r="AD11" t="s">
        <v>264</v>
      </c>
      <c r="AE11" s="1"/>
      <c r="AF11" s="1"/>
      <c r="AG11" s="1"/>
      <c r="AH11" s="1"/>
    </row>
    <row r="12" spans="2:34" x14ac:dyDescent="0.25">
      <c r="B12" s="188" t="s">
        <v>203</v>
      </c>
      <c r="C12" s="189" t="s">
        <v>262</v>
      </c>
      <c r="D12" t="s">
        <v>262</v>
      </c>
      <c r="E12">
        <v>0</v>
      </c>
      <c r="F12" t="s">
        <v>262</v>
      </c>
      <c r="G12" t="s">
        <v>262</v>
      </c>
      <c r="H12" t="s">
        <v>262</v>
      </c>
      <c r="I12">
        <v>0</v>
      </c>
      <c r="J12" t="s">
        <v>262</v>
      </c>
      <c r="AE12" s="1"/>
      <c r="AF12" s="1"/>
      <c r="AG12" s="1"/>
      <c r="AH12" s="1"/>
    </row>
    <row r="13" spans="2:34" x14ac:dyDescent="0.25">
      <c r="B13" s="188" t="s">
        <v>275</v>
      </c>
      <c r="C13" s="189" t="s">
        <v>262</v>
      </c>
      <c r="D13" t="s">
        <v>262</v>
      </c>
      <c r="E13">
        <v>0</v>
      </c>
      <c r="F13" t="s">
        <v>262</v>
      </c>
      <c r="G13" t="s">
        <v>262</v>
      </c>
      <c r="H13" t="s">
        <v>262</v>
      </c>
      <c r="I13">
        <v>0</v>
      </c>
      <c r="J13" t="s">
        <v>262</v>
      </c>
      <c r="AE13" s="1"/>
      <c r="AF13" s="1"/>
      <c r="AG13" s="1"/>
      <c r="AH13" s="1"/>
    </row>
    <row r="14" spans="2:34" x14ac:dyDescent="0.25">
      <c r="B14" s="188" t="s">
        <v>276</v>
      </c>
      <c r="C14" s="189" t="s">
        <v>262</v>
      </c>
      <c r="D14" t="s">
        <v>262</v>
      </c>
      <c r="E14">
        <v>0</v>
      </c>
      <c r="F14" t="s">
        <v>262</v>
      </c>
      <c r="G14" t="s">
        <v>262</v>
      </c>
      <c r="H14" t="s">
        <v>262</v>
      </c>
      <c r="I14">
        <v>0</v>
      </c>
      <c r="J14" t="s">
        <v>262</v>
      </c>
      <c r="AE14" s="1"/>
      <c r="AF14" s="1"/>
      <c r="AG14" s="1"/>
      <c r="AH14" s="1"/>
    </row>
    <row r="15" spans="2:34" x14ac:dyDescent="0.25">
      <c r="B15" s="188" t="s">
        <v>277</v>
      </c>
      <c r="C15" s="189" t="s">
        <v>263</v>
      </c>
      <c r="D15" t="s">
        <v>263</v>
      </c>
      <c r="E15">
        <v>0</v>
      </c>
      <c r="F15" t="s">
        <v>263</v>
      </c>
      <c r="K15" t="s">
        <v>262</v>
      </c>
      <c r="L15" t="s">
        <v>262</v>
      </c>
      <c r="M15">
        <v>0</v>
      </c>
      <c r="N15" t="s">
        <v>262</v>
      </c>
      <c r="O15" t="s">
        <v>263</v>
      </c>
      <c r="P15" t="s">
        <v>263</v>
      </c>
      <c r="Q15">
        <v>0</v>
      </c>
      <c r="R15" t="s">
        <v>263</v>
      </c>
      <c r="AE15" s="1"/>
      <c r="AF15" s="1"/>
      <c r="AG15" s="1"/>
      <c r="AH15" s="1"/>
    </row>
    <row r="16" spans="2:34" x14ac:dyDescent="0.25">
      <c r="B16" s="188" t="s">
        <v>352</v>
      </c>
      <c r="C16" s="189" t="s">
        <v>263</v>
      </c>
      <c r="D16" t="s">
        <v>263</v>
      </c>
      <c r="E16">
        <v>0</v>
      </c>
      <c r="F16" t="s">
        <v>263</v>
      </c>
      <c r="K16" t="s">
        <v>262</v>
      </c>
      <c r="L16" t="s">
        <v>262</v>
      </c>
      <c r="M16">
        <v>0</v>
      </c>
      <c r="N16" t="s">
        <v>262</v>
      </c>
      <c r="O16" t="s">
        <v>263</v>
      </c>
      <c r="P16" t="s">
        <v>263</v>
      </c>
      <c r="Q16">
        <v>0</v>
      </c>
      <c r="R16" t="s">
        <v>263</v>
      </c>
      <c r="AE16" s="1"/>
      <c r="AF16" s="1"/>
      <c r="AG16" s="1"/>
      <c r="AH16" s="1"/>
    </row>
    <row r="17" spans="2:34" x14ac:dyDescent="0.25">
      <c r="B17" s="188" t="s">
        <v>278</v>
      </c>
      <c r="C17" s="189" t="s">
        <v>263</v>
      </c>
      <c r="D17" t="s">
        <v>264</v>
      </c>
      <c r="E17">
        <v>0</v>
      </c>
      <c r="F17" t="s">
        <v>264</v>
      </c>
      <c r="K17" t="s">
        <v>262</v>
      </c>
      <c r="L17" t="s">
        <v>262</v>
      </c>
      <c r="M17">
        <v>0</v>
      </c>
      <c r="N17" t="s">
        <v>262</v>
      </c>
      <c r="O17" t="s">
        <v>263</v>
      </c>
      <c r="P17" t="s">
        <v>263</v>
      </c>
      <c r="Q17">
        <v>0</v>
      </c>
      <c r="R17" t="s">
        <v>263</v>
      </c>
      <c r="S17" t="s">
        <v>263</v>
      </c>
      <c r="T17" t="s">
        <v>264</v>
      </c>
      <c r="U17">
        <v>0</v>
      </c>
      <c r="V17" t="s">
        <v>263</v>
      </c>
      <c r="AA17" t="s">
        <v>262</v>
      </c>
      <c r="AB17" t="s">
        <v>264</v>
      </c>
      <c r="AC17">
        <v>0</v>
      </c>
      <c r="AD17" t="s">
        <v>264</v>
      </c>
      <c r="AE17" s="1"/>
      <c r="AF17" s="1"/>
      <c r="AG17" s="1"/>
      <c r="AH17" s="1"/>
    </row>
    <row r="18" spans="2:34" x14ac:dyDescent="0.25">
      <c r="B18" s="188" t="s">
        <v>279</v>
      </c>
      <c r="C18" s="189" t="s">
        <v>263</v>
      </c>
      <c r="D18" t="s">
        <v>264</v>
      </c>
      <c r="E18">
        <v>0</v>
      </c>
      <c r="F18" t="s">
        <v>264</v>
      </c>
      <c r="K18" t="s">
        <v>262</v>
      </c>
      <c r="L18" t="s">
        <v>262</v>
      </c>
      <c r="M18">
        <v>0</v>
      </c>
      <c r="N18" t="s">
        <v>262</v>
      </c>
      <c r="O18" t="s">
        <v>263</v>
      </c>
      <c r="P18" t="s">
        <v>263</v>
      </c>
      <c r="Q18">
        <v>0</v>
      </c>
      <c r="R18" t="s">
        <v>263</v>
      </c>
      <c r="S18" t="s">
        <v>263</v>
      </c>
      <c r="T18" t="s">
        <v>264</v>
      </c>
      <c r="U18">
        <v>0</v>
      </c>
      <c r="V18" t="s">
        <v>263</v>
      </c>
      <c r="AA18" t="s">
        <v>262</v>
      </c>
      <c r="AB18" t="s">
        <v>264</v>
      </c>
      <c r="AC18">
        <v>0</v>
      </c>
      <c r="AD18" t="s">
        <v>264</v>
      </c>
      <c r="AE18" s="1"/>
      <c r="AF18" s="1"/>
      <c r="AG18" s="1"/>
      <c r="AH18" s="1"/>
    </row>
    <row r="19" spans="2:34" ht="30" x14ac:dyDescent="0.25">
      <c r="B19" s="188" t="s">
        <v>280</v>
      </c>
      <c r="C19" s="189" t="s">
        <v>263</v>
      </c>
      <c r="D19" t="s">
        <v>264</v>
      </c>
      <c r="E19">
        <v>0</v>
      </c>
      <c r="F19" t="s">
        <v>263</v>
      </c>
      <c r="K19" t="s">
        <v>263</v>
      </c>
      <c r="L19" t="s">
        <v>263</v>
      </c>
      <c r="M19">
        <v>0</v>
      </c>
      <c r="N19" t="s">
        <v>262</v>
      </c>
      <c r="O19" t="s">
        <v>263</v>
      </c>
      <c r="P19" t="s">
        <v>263</v>
      </c>
      <c r="Q19">
        <v>0</v>
      </c>
      <c r="R19" t="s">
        <v>263</v>
      </c>
      <c r="S19" t="s">
        <v>263</v>
      </c>
      <c r="T19" t="s">
        <v>264</v>
      </c>
      <c r="U19">
        <v>0</v>
      </c>
      <c r="V19" t="s">
        <v>263</v>
      </c>
      <c r="AE19" s="1"/>
      <c r="AF19" s="1"/>
      <c r="AG19" s="1"/>
      <c r="AH19" s="1"/>
    </row>
    <row r="20" spans="2:34" x14ac:dyDescent="0.25">
      <c r="B20" s="188" t="s">
        <v>281</v>
      </c>
      <c r="C20" s="189" t="s">
        <v>263</v>
      </c>
      <c r="D20" t="s">
        <v>264</v>
      </c>
      <c r="E20">
        <v>0</v>
      </c>
      <c r="F20" t="s">
        <v>263</v>
      </c>
      <c r="K20" t="s">
        <v>263</v>
      </c>
      <c r="L20" t="s">
        <v>263</v>
      </c>
      <c r="M20">
        <v>0</v>
      </c>
      <c r="N20" t="s">
        <v>262</v>
      </c>
      <c r="O20" t="s">
        <v>263</v>
      </c>
      <c r="P20" t="s">
        <v>263</v>
      </c>
      <c r="Q20">
        <v>0</v>
      </c>
      <c r="R20" t="s">
        <v>263</v>
      </c>
      <c r="S20" t="s">
        <v>263</v>
      </c>
      <c r="T20" t="s">
        <v>264</v>
      </c>
      <c r="U20">
        <v>0</v>
      </c>
      <c r="V20" t="s">
        <v>263</v>
      </c>
      <c r="AE20" s="1"/>
      <c r="AF20" s="1"/>
      <c r="AG20" s="1"/>
      <c r="AH20" s="1"/>
    </row>
    <row r="21" spans="2:34" x14ac:dyDescent="0.25">
      <c r="B21" s="188" t="s">
        <v>282</v>
      </c>
      <c r="C21" s="189" t="s">
        <v>263</v>
      </c>
      <c r="D21" t="s">
        <v>264</v>
      </c>
      <c r="E21">
        <v>0</v>
      </c>
      <c r="F21" t="s">
        <v>263</v>
      </c>
      <c r="K21" t="s">
        <v>262</v>
      </c>
      <c r="L21" t="s">
        <v>262</v>
      </c>
      <c r="M21">
        <v>0</v>
      </c>
      <c r="N21" t="s">
        <v>262</v>
      </c>
      <c r="O21" t="s">
        <v>263</v>
      </c>
      <c r="P21" t="s">
        <v>263</v>
      </c>
      <c r="Q21">
        <v>0</v>
      </c>
      <c r="R21" t="s">
        <v>263</v>
      </c>
      <c r="S21" t="s">
        <v>263</v>
      </c>
      <c r="T21" t="s">
        <v>264</v>
      </c>
      <c r="U21">
        <v>0</v>
      </c>
      <c r="V21" t="s">
        <v>263</v>
      </c>
      <c r="AA21" t="s">
        <v>263</v>
      </c>
      <c r="AB21" t="s">
        <v>264</v>
      </c>
      <c r="AC21">
        <v>0</v>
      </c>
      <c r="AD21" t="s">
        <v>263</v>
      </c>
    </row>
    <row r="22" spans="2:34" x14ac:dyDescent="0.25">
      <c r="B22" s="188" t="s">
        <v>284</v>
      </c>
      <c r="C22" s="189" t="s">
        <v>262</v>
      </c>
      <c r="D22" t="s">
        <v>262</v>
      </c>
      <c r="E22">
        <v>0</v>
      </c>
      <c r="F22" t="s">
        <v>262</v>
      </c>
      <c r="K22" t="s">
        <v>262</v>
      </c>
      <c r="L22" t="s">
        <v>262</v>
      </c>
      <c r="M22">
        <v>0</v>
      </c>
      <c r="N22" t="s">
        <v>262</v>
      </c>
    </row>
    <row r="23" spans="2:34" x14ac:dyDescent="0.25">
      <c r="B23" s="188" t="s">
        <v>285</v>
      </c>
      <c r="C23" s="189" t="s">
        <v>263</v>
      </c>
      <c r="D23" t="s">
        <v>264</v>
      </c>
      <c r="E23">
        <v>0</v>
      </c>
      <c r="F23" t="s">
        <v>263</v>
      </c>
      <c r="K23" t="s">
        <v>262</v>
      </c>
      <c r="L23" t="s">
        <v>262</v>
      </c>
      <c r="M23">
        <v>0</v>
      </c>
      <c r="N23" t="s">
        <v>262</v>
      </c>
      <c r="O23" t="s">
        <v>263</v>
      </c>
      <c r="P23" t="s">
        <v>263</v>
      </c>
      <c r="Q23">
        <v>0</v>
      </c>
      <c r="R23" t="s">
        <v>263</v>
      </c>
      <c r="S23" t="s">
        <v>263</v>
      </c>
      <c r="T23" t="s">
        <v>264</v>
      </c>
      <c r="U23">
        <v>0</v>
      </c>
      <c r="V23" t="s">
        <v>263</v>
      </c>
    </row>
    <row r="24" spans="2:34" x14ac:dyDescent="0.25">
      <c r="B24" s="188" t="s">
        <v>369</v>
      </c>
      <c r="C24" s="189" t="s">
        <v>263</v>
      </c>
      <c r="D24" t="s">
        <v>264</v>
      </c>
      <c r="E24">
        <v>0</v>
      </c>
      <c r="F24" t="s">
        <v>263</v>
      </c>
      <c r="K24" t="s">
        <v>263</v>
      </c>
      <c r="L24" t="s">
        <v>262</v>
      </c>
      <c r="M24">
        <v>0</v>
      </c>
      <c r="N24" t="s">
        <v>262</v>
      </c>
      <c r="O24" t="s">
        <v>263</v>
      </c>
      <c r="P24" t="s">
        <v>263</v>
      </c>
      <c r="Q24">
        <v>0</v>
      </c>
      <c r="R24" t="s">
        <v>263</v>
      </c>
      <c r="S24" t="s">
        <v>262</v>
      </c>
      <c r="T24" t="s">
        <v>264</v>
      </c>
      <c r="U24">
        <v>0</v>
      </c>
      <c r="V24" t="s">
        <v>262</v>
      </c>
    </row>
    <row r="25" spans="2:34" x14ac:dyDescent="0.25">
      <c r="B25" s="188" t="s">
        <v>371</v>
      </c>
      <c r="C25" s="189" t="s">
        <v>263</v>
      </c>
      <c r="D25" t="s">
        <v>262</v>
      </c>
      <c r="E25">
        <v>0</v>
      </c>
      <c r="F25" t="s">
        <v>262</v>
      </c>
      <c r="K25" t="s">
        <v>263</v>
      </c>
      <c r="L25" t="s">
        <v>262</v>
      </c>
      <c r="M25">
        <v>0</v>
      </c>
      <c r="N25" t="s">
        <v>262</v>
      </c>
      <c r="O25" t="s">
        <v>263</v>
      </c>
      <c r="P25" t="s">
        <v>262</v>
      </c>
      <c r="Q25">
        <v>0</v>
      </c>
      <c r="R25" t="s">
        <v>262</v>
      </c>
    </row>
    <row r="26" spans="2:34" x14ac:dyDescent="0.25">
      <c r="B26" s="188" t="s">
        <v>283</v>
      </c>
      <c r="C26" s="189" t="s">
        <v>263</v>
      </c>
      <c r="D26" t="s">
        <v>264</v>
      </c>
      <c r="E26">
        <v>0</v>
      </c>
      <c r="F26" t="s">
        <v>263</v>
      </c>
      <c r="O26" t="s">
        <v>263</v>
      </c>
      <c r="P26" t="s">
        <v>263</v>
      </c>
      <c r="Q26">
        <v>0</v>
      </c>
      <c r="R26" t="s">
        <v>263</v>
      </c>
      <c r="S26" t="s">
        <v>263</v>
      </c>
      <c r="T26" t="s">
        <v>264</v>
      </c>
      <c r="U26">
        <v>0</v>
      </c>
      <c r="V26" t="s">
        <v>263</v>
      </c>
      <c r="AA26" t="s">
        <v>263</v>
      </c>
      <c r="AB26" t="s">
        <v>264</v>
      </c>
      <c r="AC26">
        <v>0</v>
      </c>
      <c r="AD26" t="s">
        <v>263</v>
      </c>
    </row>
    <row r="27" spans="2:34" x14ac:dyDescent="0.25">
      <c r="B27" s="188" t="s">
        <v>287</v>
      </c>
      <c r="C27" s="189" t="s">
        <v>263</v>
      </c>
      <c r="D27" t="s">
        <v>264</v>
      </c>
      <c r="E27">
        <v>0</v>
      </c>
      <c r="F27" t="s">
        <v>263</v>
      </c>
      <c r="O27" t="s">
        <v>263</v>
      </c>
      <c r="P27" t="s">
        <v>263</v>
      </c>
      <c r="Q27">
        <v>0</v>
      </c>
      <c r="R27" t="s">
        <v>263</v>
      </c>
      <c r="S27" t="s">
        <v>262</v>
      </c>
      <c r="T27" t="s">
        <v>264</v>
      </c>
      <c r="U27">
        <v>0</v>
      </c>
      <c r="V27" t="s">
        <v>262</v>
      </c>
    </row>
    <row r="28" spans="2:34" x14ac:dyDescent="0.25">
      <c r="B28" s="188" t="s">
        <v>288</v>
      </c>
      <c r="C28" s="189" t="s">
        <v>263</v>
      </c>
      <c r="D28" t="s">
        <v>264</v>
      </c>
      <c r="E28">
        <v>0</v>
      </c>
      <c r="F28" t="s">
        <v>263</v>
      </c>
      <c r="O28" t="s">
        <v>263</v>
      </c>
      <c r="P28" t="s">
        <v>263</v>
      </c>
      <c r="Q28">
        <v>0</v>
      </c>
      <c r="R28" t="s">
        <v>263</v>
      </c>
      <c r="S28" t="s">
        <v>262</v>
      </c>
      <c r="T28" t="s">
        <v>264</v>
      </c>
      <c r="U28">
        <v>0</v>
      </c>
      <c r="V28" t="s">
        <v>262</v>
      </c>
    </row>
    <row r="29" spans="2:34" x14ac:dyDescent="0.25">
      <c r="B29" s="188" t="s">
        <v>290</v>
      </c>
      <c r="C29" s="189" t="s">
        <v>263</v>
      </c>
      <c r="D29" t="s">
        <v>264</v>
      </c>
      <c r="E29">
        <v>0</v>
      </c>
      <c r="F29" t="s">
        <v>263</v>
      </c>
      <c r="O29" t="s">
        <v>263</v>
      </c>
      <c r="P29" t="s">
        <v>263</v>
      </c>
      <c r="Q29">
        <v>0</v>
      </c>
      <c r="R29" t="s">
        <v>263</v>
      </c>
      <c r="S29" t="s">
        <v>263</v>
      </c>
      <c r="T29" t="s">
        <v>264</v>
      </c>
      <c r="U29">
        <v>0</v>
      </c>
      <c r="V29" t="s">
        <v>263</v>
      </c>
      <c r="AA29" t="s">
        <v>263</v>
      </c>
      <c r="AB29" t="s">
        <v>264</v>
      </c>
      <c r="AC29">
        <v>0</v>
      </c>
      <c r="AD29" t="s">
        <v>263</v>
      </c>
    </row>
    <row r="30" spans="2:34" x14ac:dyDescent="0.25">
      <c r="B30" s="188" t="s">
        <v>292</v>
      </c>
      <c r="C30" s="189" t="s">
        <v>263</v>
      </c>
      <c r="D30" t="s">
        <v>264</v>
      </c>
      <c r="E30">
        <v>0</v>
      </c>
      <c r="F30" t="s">
        <v>263</v>
      </c>
      <c r="O30" t="s">
        <v>263</v>
      </c>
      <c r="P30" t="s">
        <v>263</v>
      </c>
      <c r="Q30">
        <v>0</v>
      </c>
      <c r="R30" t="s">
        <v>263</v>
      </c>
      <c r="S30" t="s">
        <v>263</v>
      </c>
      <c r="T30" t="s">
        <v>264</v>
      </c>
      <c r="U30">
        <v>0</v>
      </c>
      <c r="V30" t="s">
        <v>263</v>
      </c>
      <c r="AA30" t="s">
        <v>263</v>
      </c>
      <c r="AB30" t="s">
        <v>264</v>
      </c>
      <c r="AC30">
        <v>0</v>
      </c>
      <c r="AD30" t="s">
        <v>263</v>
      </c>
    </row>
    <row r="31" spans="2:34" ht="30" x14ac:dyDescent="0.25">
      <c r="B31" s="188" t="s">
        <v>293</v>
      </c>
      <c r="C31" s="189" t="s">
        <v>263</v>
      </c>
      <c r="D31" t="s">
        <v>264</v>
      </c>
      <c r="E31">
        <v>0</v>
      </c>
      <c r="F31" t="s">
        <v>263</v>
      </c>
      <c r="O31" t="s">
        <v>263</v>
      </c>
      <c r="P31" t="s">
        <v>263</v>
      </c>
      <c r="Q31">
        <v>0</v>
      </c>
      <c r="R31" t="s">
        <v>263</v>
      </c>
      <c r="S31" t="s">
        <v>263</v>
      </c>
      <c r="T31" t="s">
        <v>264</v>
      </c>
      <c r="U31">
        <v>0</v>
      </c>
      <c r="V31" t="s">
        <v>263</v>
      </c>
      <c r="AA31" t="s">
        <v>263</v>
      </c>
      <c r="AB31" t="s">
        <v>264</v>
      </c>
      <c r="AC31">
        <v>0</v>
      </c>
      <c r="AD31" t="s">
        <v>263</v>
      </c>
    </row>
    <row r="32" spans="2:34" x14ac:dyDescent="0.25">
      <c r="B32" s="188" t="s">
        <v>294</v>
      </c>
      <c r="C32" s="189" t="s">
        <v>263</v>
      </c>
      <c r="D32" t="s">
        <v>264</v>
      </c>
      <c r="E32">
        <v>0</v>
      </c>
      <c r="F32" t="s">
        <v>263</v>
      </c>
      <c r="O32" t="s">
        <v>263</v>
      </c>
      <c r="P32" t="s">
        <v>263</v>
      </c>
      <c r="Q32">
        <v>0</v>
      </c>
      <c r="R32" t="s">
        <v>263</v>
      </c>
      <c r="S32" t="s">
        <v>263</v>
      </c>
      <c r="T32" t="s">
        <v>264</v>
      </c>
      <c r="U32">
        <v>0</v>
      </c>
      <c r="V32" t="s">
        <v>263</v>
      </c>
      <c r="AA32" t="s">
        <v>263</v>
      </c>
      <c r="AB32" t="s">
        <v>264</v>
      </c>
      <c r="AC32">
        <v>0</v>
      </c>
      <c r="AD32" t="s">
        <v>263</v>
      </c>
    </row>
    <row r="33" spans="2:30" x14ac:dyDescent="0.25">
      <c r="B33" s="188" t="s">
        <v>295</v>
      </c>
      <c r="C33" s="189" t="s">
        <v>264</v>
      </c>
      <c r="D33" t="s">
        <v>264</v>
      </c>
      <c r="E33">
        <v>0</v>
      </c>
      <c r="F33" t="s">
        <v>264</v>
      </c>
      <c r="O33" t="s">
        <v>263</v>
      </c>
      <c r="P33" t="s">
        <v>263</v>
      </c>
      <c r="Q33">
        <v>0</v>
      </c>
      <c r="R33" t="s">
        <v>263</v>
      </c>
      <c r="S33" t="s">
        <v>263</v>
      </c>
      <c r="T33" t="s">
        <v>264</v>
      </c>
      <c r="U33">
        <v>0</v>
      </c>
      <c r="V33" t="s">
        <v>263</v>
      </c>
      <c r="AA33" t="s">
        <v>264</v>
      </c>
      <c r="AB33" t="s">
        <v>264</v>
      </c>
      <c r="AC33">
        <v>0</v>
      </c>
      <c r="AD33" t="s">
        <v>264</v>
      </c>
    </row>
    <row r="34" spans="2:30" x14ac:dyDescent="0.25">
      <c r="B34" s="188" t="s">
        <v>296</v>
      </c>
      <c r="C34" s="189" t="s">
        <v>263</v>
      </c>
      <c r="D34" t="s">
        <v>264</v>
      </c>
      <c r="E34">
        <v>0</v>
      </c>
      <c r="F34" t="s">
        <v>263</v>
      </c>
      <c r="O34" t="s">
        <v>263</v>
      </c>
      <c r="P34" t="s">
        <v>263</v>
      </c>
      <c r="Q34">
        <v>0</v>
      </c>
      <c r="R34" t="s">
        <v>263</v>
      </c>
      <c r="S34" t="s">
        <v>263</v>
      </c>
      <c r="T34" t="s">
        <v>264</v>
      </c>
      <c r="U34">
        <v>0</v>
      </c>
      <c r="V34" t="s">
        <v>263</v>
      </c>
      <c r="AA34" t="s">
        <v>263</v>
      </c>
      <c r="AB34" t="s">
        <v>264</v>
      </c>
      <c r="AC34">
        <v>0</v>
      </c>
      <c r="AD34" t="s">
        <v>263</v>
      </c>
    </row>
    <row r="35" spans="2:30" x14ac:dyDescent="0.25">
      <c r="B35" s="188" t="s">
        <v>297</v>
      </c>
      <c r="C35" s="189" t="s">
        <v>263</v>
      </c>
      <c r="D35" t="s">
        <v>264</v>
      </c>
      <c r="E35">
        <v>0</v>
      </c>
      <c r="F35" t="s">
        <v>263</v>
      </c>
      <c r="O35" t="s">
        <v>263</v>
      </c>
      <c r="P35" t="s">
        <v>263</v>
      </c>
      <c r="Q35">
        <v>0</v>
      </c>
      <c r="R35" t="s">
        <v>263</v>
      </c>
      <c r="S35" t="s">
        <v>263</v>
      </c>
      <c r="T35" t="s">
        <v>264</v>
      </c>
      <c r="U35">
        <v>0</v>
      </c>
      <c r="V35" t="s">
        <v>263</v>
      </c>
      <c r="AA35" t="s">
        <v>263</v>
      </c>
      <c r="AB35" t="s">
        <v>264</v>
      </c>
      <c r="AC35">
        <v>0</v>
      </c>
      <c r="AD35" t="s">
        <v>263</v>
      </c>
    </row>
    <row r="36" spans="2:30" ht="30" x14ac:dyDescent="0.25">
      <c r="B36" s="188" t="s">
        <v>298</v>
      </c>
      <c r="C36" s="189" t="s">
        <v>264</v>
      </c>
      <c r="D36" t="s">
        <v>264</v>
      </c>
      <c r="E36">
        <v>0</v>
      </c>
      <c r="F36" t="s">
        <v>264</v>
      </c>
      <c r="O36" t="s">
        <v>263</v>
      </c>
      <c r="P36" t="s">
        <v>263</v>
      </c>
      <c r="Q36">
        <v>0</v>
      </c>
      <c r="R36" t="s">
        <v>263</v>
      </c>
      <c r="S36" t="s">
        <v>263</v>
      </c>
      <c r="T36" t="s">
        <v>264</v>
      </c>
      <c r="U36">
        <v>0</v>
      </c>
      <c r="V36" t="s">
        <v>263</v>
      </c>
      <c r="AA36" t="s">
        <v>264</v>
      </c>
      <c r="AB36" t="s">
        <v>264</v>
      </c>
      <c r="AC36">
        <v>0</v>
      </c>
      <c r="AD36" t="s">
        <v>264</v>
      </c>
    </row>
    <row r="37" spans="2:30" x14ac:dyDescent="0.25">
      <c r="B37" s="188" t="s">
        <v>393</v>
      </c>
      <c r="C37" s="189" t="s">
        <v>263</v>
      </c>
      <c r="D37" t="s">
        <v>264</v>
      </c>
      <c r="E37">
        <v>0</v>
      </c>
      <c r="F37" t="s">
        <v>263</v>
      </c>
      <c r="O37" t="s">
        <v>263</v>
      </c>
      <c r="P37" t="s">
        <v>263</v>
      </c>
      <c r="Q37">
        <v>0</v>
      </c>
      <c r="R37" t="s">
        <v>263</v>
      </c>
      <c r="S37" t="s">
        <v>263</v>
      </c>
      <c r="T37" t="s">
        <v>264</v>
      </c>
      <c r="U37">
        <v>0</v>
      </c>
      <c r="V37" t="s">
        <v>263</v>
      </c>
      <c r="AA37" t="s">
        <v>263</v>
      </c>
      <c r="AB37" t="s">
        <v>264</v>
      </c>
      <c r="AC37">
        <v>0</v>
      </c>
      <c r="AD37" t="s">
        <v>263</v>
      </c>
    </row>
    <row r="38" spans="2:30" x14ac:dyDescent="0.25">
      <c r="B38" s="188" t="s">
        <v>289</v>
      </c>
      <c r="C38" s="189" t="s">
        <v>262</v>
      </c>
      <c r="D38" t="s">
        <v>262</v>
      </c>
      <c r="E38">
        <v>0</v>
      </c>
      <c r="F38" t="s">
        <v>262</v>
      </c>
      <c r="W38" t="s">
        <v>262</v>
      </c>
      <c r="X38" t="s">
        <v>262</v>
      </c>
      <c r="Y38">
        <v>0</v>
      </c>
      <c r="Z38" t="s">
        <v>262</v>
      </c>
    </row>
    <row r="39" spans="2:30" x14ac:dyDescent="0.25">
      <c r="B39" s="188" t="s">
        <v>291</v>
      </c>
      <c r="C39" s="189" t="s">
        <v>263</v>
      </c>
      <c r="D39" t="s">
        <v>264</v>
      </c>
      <c r="E39">
        <v>0</v>
      </c>
      <c r="F39" t="s">
        <v>263</v>
      </c>
      <c r="AA39" t="s">
        <v>263</v>
      </c>
      <c r="AB39" t="s">
        <v>264</v>
      </c>
      <c r="AC39">
        <v>0</v>
      </c>
      <c r="AD39" t="s">
        <v>263</v>
      </c>
    </row>
  </sheetData>
  <mergeCells count="1">
    <mergeCell ref="B1:G1"/>
  </mergeCells>
  <phoneticPr fontId="42" type="noConversion"/>
  <pageMargins left="0.7" right="0.7" top="0.78740157499999996" bottom="0.78740157499999996" header="0.3" footer="0.3"/>
  <pageSetup paperSize="9"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J13"/>
  <sheetViews>
    <sheetView showGridLines="0" zoomScale="110" zoomScaleNormal="110" workbookViewId="0">
      <selection activeCell="D4" sqref="D4"/>
    </sheetView>
  </sheetViews>
  <sheetFormatPr baseColWidth="10" defaultRowHeight="15" x14ac:dyDescent="0.25"/>
  <cols>
    <col min="1" max="1" width="7.28515625" customWidth="1"/>
    <col min="2" max="2" width="31.7109375" customWidth="1"/>
    <col min="7" max="7" width="31.7109375" customWidth="1"/>
  </cols>
  <sheetData>
    <row r="1" spans="2:10" ht="57.95" customHeight="1" x14ac:dyDescent="0.25">
      <c r="B1" s="126" t="s">
        <v>385</v>
      </c>
      <c r="C1" s="126"/>
      <c r="D1" s="126"/>
      <c r="E1" s="126"/>
    </row>
    <row r="2" spans="2:10" ht="30" customHeight="1" thickBot="1" x14ac:dyDescent="0.3">
      <c r="B2" s="187" t="s">
        <v>387</v>
      </c>
      <c r="C2" s="187"/>
      <c r="D2" s="187"/>
      <c r="E2" s="187"/>
      <c r="G2" s="187" t="s">
        <v>58</v>
      </c>
      <c r="H2" s="187"/>
      <c r="I2" s="187"/>
      <c r="J2" s="187"/>
    </row>
    <row r="3" spans="2:10" ht="30" customHeight="1" thickBot="1" x14ac:dyDescent="0.3">
      <c r="B3" s="119" t="s">
        <v>386</v>
      </c>
      <c r="C3" s="120" t="s">
        <v>382</v>
      </c>
      <c r="D3" s="120" t="s">
        <v>383</v>
      </c>
      <c r="E3" s="120" t="s">
        <v>384</v>
      </c>
      <c r="G3" s="119" t="s">
        <v>58</v>
      </c>
      <c r="H3" s="120" t="s">
        <v>382</v>
      </c>
      <c r="I3" s="120" t="s">
        <v>383</v>
      </c>
      <c r="J3" s="120" t="s">
        <v>384</v>
      </c>
    </row>
    <row r="4" spans="2:10" ht="39.950000000000003" customHeight="1" x14ac:dyDescent="0.25">
      <c r="B4" s="122" t="s">
        <v>388</v>
      </c>
      <c r="C4" s="117" t="s">
        <v>264</v>
      </c>
      <c r="D4" s="117" t="s">
        <v>264</v>
      </c>
      <c r="E4" s="117" t="s">
        <v>264</v>
      </c>
      <c r="G4" s="122" t="s">
        <v>378</v>
      </c>
      <c r="H4" s="117" t="s">
        <v>263</v>
      </c>
      <c r="I4" s="117" t="s">
        <v>262</v>
      </c>
      <c r="J4" s="117" t="s">
        <v>264</v>
      </c>
    </row>
    <row r="5" spans="2:10" ht="39.950000000000003" customHeight="1" x14ac:dyDescent="0.25">
      <c r="B5" s="123" t="s">
        <v>389</v>
      </c>
      <c r="C5" s="125" t="s">
        <v>262</v>
      </c>
      <c r="D5" s="125" t="s">
        <v>262</v>
      </c>
      <c r="E5" s="125" t="s">
        <v>262</v>
      </c>
      <c r="G5" s="123" t="s">
        <v>372</v>
      </c>
      <c r="H5" s="125" t="s">
        <v>262</v>
      </c>
      <c r="I5" s="125" t="s">
        <v>262</v>
      </c>
      <c r="J5" s="125" t="s">
        <v>262</v>
      </c>
    </row>
    <row r="6" spans="2:10" ht="39.950000000000003" customHeight="1" x14ac:dyDescent="0.25">
      <c r="B6" s="123" t="s">
        <v>390</v>
      </c>
      <c r="C6" s="121" t="s">
        <v>263</v>
      </c>
      <c r="D6" s="121" t="s">
        <v>263</v>
      </c>
      <c r="E6" s="121" t="s">
        <v>262</v>
      </c>
      <c r="G6" s="123" t="s">
        <v>373</v>
      </c>
      <c r="H6" s="121" t="s">
        <v>262</v>
      </c>
      <c r="I6" s="121" t="s">
        <v>262</v>
      </c>
      <c r="J6" s="121" t="s">
        <v>262</v>
      </c>
    </row>
    <row r="7" spans="2:10" ht="39.950000000000003" customHeight="1" x14ac:dyDescent="0.25">
      <c r="B7" s="123" t="s">
        <v>391</v>
      </c>
      <c r="C7" s="125" t="s">
        <v>263</v>
      </c>
      <c r="D7" s="125" t="s">
        <v>263</v>
      </c>
      <c r="E7" s="125" t="s">
        <v>263</v>
      </c>
      <c r="G7" s="123" t="s">
        <v>374</v>
      </c>
      <c r="H7" s="125" t="s">
        <v>262</v>
      </c>
      <c r="I7" s="125" t="s">
        <v>262</v>
      </c>
      <c r="J7" s="125" t="s">
        <v>262</v>
      </c>
    </row>
    <row r="8" spans="2:10" ht="39.950000000000003" customHeight="1" x14ac:dyDescent="0.25">
      <c r="B8" s="123" t="s">
        <v>392</v>
      </c>
      <c r="C8" s="121" t="s">
        <v>264</v>
      </c>
      <c r="D8" s="121" t="s">
        <v>263</v>
      </c>
      <c r="E8" s="121" t="s">
        <v>264</v>
      </c>
      <c r="G8" s="123" t="s">
        <v>375</v>
      </c>
      <c r="H8" s="121" t="s">
        <v>263</v>
      </c>
      <c r="I8" s="121" t="s">
        <v>262</v>
      </c>
      <c r="J8" s="121" t="s">
        <v>262</v>
      </c>
    </row>
    <row r="9" spans="2:10" ht="39.950000000000003" customHeight="1" x14ac:dyDescent="0.25">
      <c r="B9" s="123"/>
      <c r="C9" s="125"/>
      <c r="D9" s="125"/>
      <c r="E9" s="125"/>
      <c r="G9" s="123" t="s">
        <v>376</v>
      </c>
      <c r="H9" s="125" t="s">
        <v>264</v>
      </c>
      <c r="I9" s="125" t="s">
        <v>262</v>
      </c>
      <c r="J9" s="125" t="s">
        <v>262</v>
      </c>
    </row>
    <row r="10" spans="2:10" ht="39.950000000000003" customHeight="1" x14ac:dyDescent="0.25">
      <c r="B10" s="123"/>
      <c r="C10" s="121"/>
      <c r="D10" s="121"/>
      <c r="E10" s="121"/>
      <c r="G10" s="123" t="s">
        <v>377</v>
      </c>
      <c r="H10" s="121" t="s">
        <v>262</v>
      </c>
      <c r="I10" s="121" t="s">
        <v>262</v>
      </c>
      <c r="J10" s="121" t="s">
        <v>262</v>
      </c>
    </row>
    <row r="11" spans="2:10" x14ac:dyDescent="0.25">
      <c r="B11" s="123"/>
      <c r="C11" s="125"/>
      <c r="D11" s="125"/>
      <c r="E11" s="125"/>
      <c r="G11" s="123"/>
      <c r="H11" s="125"/>
      <c r="I11" s="125"/>
      <c r="J11" s="125"/>
    </row>
    <row r="12" spans="2:10" x14ac:dyDescent="0.25">
      <c r="B12" s="123"/>
      <c r="C12" s="121"/>
      <c r="D12" s="121"/>
      <c r="E12" s="121"/>
      <c r="G12" s="123"/>
      <c r="H12" s="121"/>
      <c r="I12" s="121"/>
      <c r="J12" s="121"/>
    </row>
    <row r="13" spans="2:10" ht="15.75" thickBot="1" x14ac:dyDescent="0.3">
      <c r="B13" s="124"/>
      <c r="C13" s="118"/>
      <c r="D13" s="118"/>
      <c r="E13" s="118"/>
      <c r="G13" s="124"/>
      <c r="H13" s="118"/>
      <c r="I13" s="118"/>
      <c r="J13" s="118"/>
    </row>
  </sheetData>
  <mergeCells count="3">
    <mergeCell ref="B1:E1"/>
    <mergeCell ref="B2:E2"/>
    <mergeCell ref="G2:J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Arbeitsdokument" ma:contentTypeID="0x01010068330531F6641B4C9DCC8E7C395A8DE000AABFD4E08D31F242988287F08558DAFD" ma:contentTypeVersion="10" ma:contentTypeDescription="" ma:contentTypeScope="" ma:versionID="87f733d5d3dbefcdebef2702b23ca62b">
  <xsd:schema xmlns:xsd="http://www.w3.org/2001/XMLSchema" xmlns:xs="http://www.w3.org/2001/XMLSchema" xmlns:p="http://schemas.microsoft.com/office/2006/metadata/properties" xmlns:ns2="ec365def-bc17-4d00-b6a7-7c061393e819" xmlns:ns3="88b7919c-8996-4639-b819-d05eaa683aac" xmlns:ns4="1a95b8fd-144e-4a2a-a2bb-23cbbd4ebc83" targetNamespace="http://schemas.microsoft.com/office/2006/metadata/properties" ma:root="true" ma:fieldsID="1cac5acb7af34c6b6bc47db93b140bd2" ns2:_="" ns3:_="" ns4:_="">
    <xsd:import namespace="ec365def-bc17-4d00-b6a7-7c061393e819"/>
    <xsd:import namespace="88b7919c-8996-4639-b819-d05eaa683aac"/>
    <xsd:import namespace="1a95b8fd-144e-4a2a-a2bb-23cbbd4ebc83"/>
    <xsd:element name="properties">
      <xsd:complexType>
        <xsd:sequence>
          <xsd:element name="documentManagement">
            <xsd:complexType>
              <xsd:all>
                <xsd:element ref="ns2:HiSKundenName" minOccurs="0"/>
                <xsd:element ref="ns2:TaxCatchAll" minOccurs="0"/>
                <xsd:element ref="ns2:TaxCatchAllLabel" minOccurs="0"/>
                <xsd:element ref="ns3:pef5cde75fea4018977880c965b1ff86" minOccurs="0"/>
                <xsd:element ref="ns2:HiSblueAntProjektnummer" minOccurs="0"/>
                <xsd:element ref="ns2:HiSblueAntProjekttitel" minOccurs="0"/>
                <xsd:element ref="ns2:HiSblueAntProjektstatus" minOccurs="0"/>
                <xsd:element ref="ns4: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365def-bc17-4d00-b6a7-7c061393e819" elementFormDefault="qualified">
    <xsd:import namespace="http://schemas.microsoft.com/office/2006/documentManagement/types"/>
    <xsd:import namespace="http://schemas.microsoft.com/office/infopath/2007/PartnerControls"/>
    <xsd:element name="HiSKundenName" ma:index="8" nillable="true" ma:displayName="Kundenname" ma:default="ifok GmbH" ma:internalName="HiSKundenName">
      <xsd:simpleType>
        <xsd:restriction base="dms:Text"/>
      </xsd:simpleType>
    </xsd:element>
    <xsd:element name="TaxCatchAll" ma:index="10" nillable="true" ma:displayName="Taxonomy Catch All Column" ma:hidden="true" ma:list="{34d18c83-9779-4460-8a84-9ab488bf3680}" ma:internalName="TaxCatchAll" ma:showField="CatchAllData" ma:web="ec365def-bc17-4d00-b6a7-7c061393e819">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hidden="true" ma:list="{34d18c83-9779-4460-8a84-9ab488bf3680}" ma:internalName="TaxCatchAllLabel" ma:readOnly="true" ma:showField="CatchAllDataLabel" ma:web="ec365def-bc17-4d00-b6a7-7c061393e819">
      <xsd:complexType>
        <xsd:complexContent>
          <xsd:extension base="dms:MultiChoiceLookup">
            <xsd:sequence>
              <xsd:element name="Value" type="dms:Lookup" maxOccurs="unbounded" minOccurs="0" nillable="true"/>
            </xsd:sequence>
          </xsd:extension>
        </xsd:complexContent>
      </xsd:complexType>
    </xsd:element>
    <xsd:element name="HiSblueAntProjektnummer" ma:index="13" nillable="true" ma:displayName="blueAnt Projektnummer" ma:default="Microsoft.SharePoint.Client.ListItem.FieldValues.Projektnummer" ma:internalName="HiSblueAntProjektnummer">
      <xsd:simpleType>
        <xsd:restriction base="dms:Text"/>
      </xsd:simpleType>
    </xsd:element>
    <xsd:element name="HiSblueAntProjekttitel" ma:index="14" nillable="true" ma:displayName="blueAnt Projekttitel" ma:default="23.ifok.Gap-Analyse ISO 27001" ma:internalName="HiSblueAntProjekttitel">
      <xsd:simpleType>
        <xsd:restriction base="dms:Text"/>
      </xsd:simpleType>
    </xsd:element>
    <xsd:element name="HiSblueAntProjektstatus" ma:index="15" nillable="true" ma:displayName="Status" ma:default="Microsoft.SharePoint.Client.ListItem.FieldValues.Aktiv" ma:internalName="HiSblueAntProjekt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b7919c-8996-4639-b819-d05eaa683aac" elementFormDefault="qualified">
    <xsd:import namespace="http://schemas.microsoft.com/office/2006/documentManagement/types"/>
    <xsd:import namespace="http://schemas.microsoft.com/office/infopath/2007/PartnerControls"/>
    <xsd:element name="pef5cde75fea4018977880c965b1ff86" ma:index="12" nillable="true" ma:taxonomy="true" ma:internalName="pef5cde75fea4018977880c965b1ff86" ma:taxonomyFieldName="HiSDokumentenTyp" ma:displayName="Dokumententyp" ma:default="" ma:fieldId="{4a171bff-e438-41f1-9f68-4cfc87f71873}" ma:sspId="de10d412-84cb-47af-abff-49fcbbfb0518" ma:termSetId="7ac725f0-9aa9-46ce-ac0d-125d779b3315"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a95b8fd-144e-4a2a-a2bb-23cbbd4ebc83" elementFormDefault="qualified">
    <xsd:import namespace="http://schemas.microsoft.com/office/2006/documentManagement/types"/>
    <xsd:import namespace="http://schemas.microsoft.com/office/infopath/2007/PartnerControls"/>
    <xsd:element name="SharedWithUsers" ma:index="16"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ef5cde75fea4018977880c965b1ff86 xmlns="88b7919c-8996-4639-b819-d05eaa683aac">
      <Terms xmlns="http://schemas.microsoft.com/office/infopath/2007/PartnerControls">
        <TermInfo xmlns="http://schemas.microsoft.com/office/infopath/2007/PartnerControls">
          <TermName xmlns="http://schemas.microsoft.com/office/infopath/2007/PartnerControls">Projektdokument</TermName>
          <TermId xmlns="http://schemas.microsoft.com/office/infopath/2007/PartnerControls">c52fbd30-683e-4a50-af8b-26c03474920b</TermId>
        </TermInfo>
      </Terms>
    </pef5cde75fea4018977880c965b1ff86>
    <HiSblueAntProjektstatus xmlns="ec365def-bc17-4d00-b6a7-7c061393e819" xsi:nil="true"/>
    <HiSKundenName xmlns="ec365def-bc17-4d00-b6a7-7c061393e819" xsi:nil="true"/>
    <HiSblueAntProjektnummer xmlns="ec365def-bc17-4d00-b6a7-7c061393e819">70781</HiSblueAntProjektnummer>
    <HiSblueAntProjekttitel xmlns="ec365def-bc17-4d00-b6a7-7c061393e819">23.ifok.Gap-Analyse ISO 27001</HiSblueAntProjekttitel>
    <TaxCatchAll xmlns="ec365def-bc17-4d00-b6a7-7c061393e819">
      <Value>2</Value>
    </TaxCatchAll>
  </documentManagement>
</p:properties>
</file>

<file path=customXml/itemProps1.xml><?xml version="1.0" encoding="utf-8"?>
<ds:datastoreItem xmlns:ds="http://schemas.openxmlformats.org/officeDocument/2006/customXml" ds:itemID="{AE10514E-2CB0-4D37-BDF1-ABAD89447F7F}">
  <ds:schemaRefs>
    <ds:schemaRef ds:uri="http://schemas.microsoft.com/sharepoint/v3/contenttype/forms"/>
  </ds:schemaRefs>
</ds:datastoreItem>
</file>

<file path=customXml/itemProps2.xml><?xml version="1.0" encoding="utf-8"?>
<ds:datastoreItem xmlns:ds="http://schemas.openxmlformats.org/officeDocument/2006/customXml" ds:itemID="{DFD52918-9363-46C2-81C4-4FC0E3DD7C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365def-bc17-4d00-b6a7-7c061393e819"/>
    <ds:schemaRef ds:uri="88b7919c-8996-4639-b819-d05eaa683aac"/>
    <ds:schemaRef ds:uri="1a95b8fd-144e-4a2a-a2bb-23cbbd4ebc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9DC979-232C-4078-BEC0-8C80A2077C31}">
  <ds:schemaRefs>
    <ds:schemaRef ds:uri="http://schemas.openxmlformats.org/package/2006/metadata/core-properties"/>
    <ds:schemaRef ds:uri="http://purl.org/dc/elements/1.1/"/>
    <ds:schemaRef ds:uri="1a95b8fd-144e-4a2a-a2bb-23cbbd4ebc83"/>
    <ds:schemaRef ds:uri="http://schemas.microsoft.com/office/2006/documentManagement/types"/>
    <ds:schemaRef ds:uri="http://purl.org/dc/terms/"/>
    <ds:schemaRef ds:uri="http://purl.org/dc/dcmitype/"/>
    <ds:schemaRef ds:uri="http://schemas.microsoft.com/office/infopath/2007/PartnerControls"/>
    <ds:schemaRef ds:uri="88b7919c-8996-4639-b819-d05eaa683aac"/>
    <ds:schemaRef ds:uri="ec365def-bc17-4d00-b6a7-7c061393e819"/>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10</vt:i4>
      </vt:variant>
    </vt:vector>
  </HeadingPairs>
  <TitlesOfParts>
    <vt:vector size="27" baseType="lpstr">
      <vt:lpstr>Anleitung</vt:lpstr>
      <vt:lpstr>Allgemein</vt:lpstr>
      <vt:lpstr>P1</vt:lpstr>
      <vt:lpstr>P2</vt:lpstr>
      <vt:lpstr>P3</vt:lpstr>
      <vt:lpstr>P4</vt:lpstr>
      <vt:lpstr>P5</vt:lpstr>
      <vt:lpstr>P6</vt:lpstr>
      <vt:lpstr>P7</vt:lpstr>
      <vt:lpstr>P8</vt:lpstr>
      <vt:lpstr>ISM Klassifizierung</vt:lpstr>
      <vt:lpstr>Informationscluster</vt:lpstr>
      <vt:lpstr>Software Inventar</vt:lpstr>
      <vt:lpstr>Prozessabhängigkeiten</vt:lpstr>
      <vt:lpstr>Ressourcen DB</vt:lpstr>
      <vt:lpstr>Kreuzreferenztabelle</vt:lpstr>
      <vt:lpstr>Vererbungstabellen</vt:lpstr>
      <vt:lpstr>Allgemein!Druckbereich</vt:lpstr>
      <vt:lpstr>Informationscluster!Druckbereich</vt:lpstr>
      <vt:lpstr>'P1'!Druckbereich</vt:lpstr>
      <vt:lpstr>'P2'!Druckbereich</vt:lpstr>
      <vt:lpstr>'P3'!Druckbereich</vt:lpstr>
      <vt:lpstr>'P4'!Druckbereich</vt:lpstr>
      <vt:lpstr>'P5'!Druckbereich</vt:lpstr>
      <vt:lpstr>'P6'!Druckbereich</vt:lpstr>
      <vt:lpstr>'P7'!Druckbereich</vt:lpstr>
      <vt:lpstr>'P8'!Druckbereich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Arndt Johannes Oschinsky</dc:creator>
  <cp:keywords/>
  <dc:description/>
  <cp:lastModifiedBy>Yannik Meinhardt</cp:lastModifiedBy>
  <cp:revision/>
  <dcterms:created xsi:type="dcterms:W3CDTF">2022-04-26T07:21:26Z</dcterms:created>
  <dcterms:modified xsi:type="dcterms:W3CDTF">2024-02-12T13:31:00Z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0x01010068330531F6641B4C9DCC8E7C395A8DE000AABFD4E08D31F242988287F08558DAFD</vt:lpwstr>
  </property>
  <property fmtid="{D5CDD505-2E9C-101B-9397-08002B2CF9AE}" pid="3" name="HiSThema">
    <vt:lpwstr/>
  </property>
  <property fmtid="{D5CDD505-2E9C-101B-9397-08002B2CF9AE}" pid="4" name="HiSDokumentenTyp">
    <vt:lpwstr>2;#Projektdokument|c52fbd30-683e-4a50-af8b-26c03474920b</vt:lpwstr>
  </property>
  <property fmtid="{D5CDD505-2E9C-101B-9397-08002B2CF9AE}" pid="5" name="g7833761a11646af9df9aa964a0314aa">
    <vt:lpwstr/>
  </property>
</Properties>
</file>